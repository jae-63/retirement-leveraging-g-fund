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ariables_And_Log" sheetId="1" state="visible" r:id="rId1"/>
    <sheet xmlns:r="http://schemas.openxmlformats.org/officeDocument/2006/relationships" name="Account_Tracker" sheetId="2" state="visible" r:id="rId2"/>
    <sheet xmlns:r="http://schemas.openxmlformats.org/officeDocument/2006/relationships" name="The_Refill_Engine" sheetId="3" state="visible" r:id="rId3"/>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i val="1"/>
      <color rgb="00595959"/>
      <sz val="9"/>
    </font>
    <font>
      <name val="Segoe UI"/>
      <b val="1"/>
      <sz val="11"/>
    </font>
    <font>
      <name val="Segoe UI"/>
      <sz val="10"/>
    </font>
  </fonts>
  <fills count="5">
    <fill>
      <patternFill/>
    </fill>
    <fill>
      <patternFill patternType="gray125"/>
    </fill>
    <fill>
      <patternFill patternType="solid">
        <fgColor rgb="001F3864"/>
        <bgColor rgb="001F3864"/>
      </patternFill>
    </fill>
    <fill>
      <patternFill patternType="solid">
        <fgColor rgb="00DCE6F1"/>
        <bgColor rgb="00DCE6F1"/>
      </patternFill>
    </fill>
    <fill>
      <patternFill patternType="solid">
        <fgColor rgb="0044546A"/>
        <bgColor rgb="0044546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wrapText="1"/>
    </xf>
    <xf numFmtId="1" fontId="2" fillId="0" borderId="1" pivotButton="0" quotePrefix="0" xfId="0"/>
    <xf numFmtId="10" fontId="2" fillId="0" borderId="1" pivotButton="0" quotePrefix="0" xfId="0"/>
    <xf numFmtId="164" fontId="2" fillId="0" borderId="1" pivotButton="0" quotePrefix="0" xfId="0"/>
    <xf numFmtId="0" fontId="3" fillId="0" borderId="0" pivotButton="0" quotePrefix="0" xfId="0"/>
    <xf numFmtId="0" fontId="2" fillId="0" borderId="1" pivotButton="0" quotePrefix="0" xfId="0"/>
    <xf numFmtId="0" fontId="4" fillId="3" borderId="1" pivotButton="0" quotePrefix="0" xfId="0"/>
    <xf numFmtId="164" fontId="4" fillId="3" borderId="1" pivotButton="0" quotePrefix="0" xfId="0"/>
    <xf numFmtId="10" fontId="4" fillId="3" borderId="1" pivotButton="0" quotePrefix="0" xfId="0"/>
    <xf numFmtId="0" fontId="2" fillId="0" borderId="1" applyAlignment="1" pivotButton="0" quotePrefix="0" xfId="0">
      <alignment horizontal="left" vertical="center" wrapText="1"/>
    </xf>
    <xf numFmtId="0" fontId="1" fillId="4" borderId="1" pivotButton="0" quotePrefix="0" xfId="0"/>
    <xf numFmtId="0" fontId="0" fillId="0" borderId="4" pivotButton="0" quotePrefix="0" xfId="0"/>
    <xf numFmtId="0" fontId="0" fillId="0" borderId="5" pivotButton="0" quotePrefix="0" xfId="0"/>
    <xf numFmtId="0" fontId="4" fillId="0" borderId="1" pivotButton="0" quotePrefix="0" xfId="0"/>
    <xf numFmtId="165" fontId="2" fillId="0" borderId="1" pivotButton="0" quotePrefix="0" xfId="0"/>
    <xf numFmtId="0" fontId="5" fillId="0" borderId="1" applyAlignment="1" pivotButton="0" quotePrefix="0" xfId="0">
      <alignment horizontal="left" vertical="top" wrapText="1"/>
    </xf>
    <xf numFmtId="0" fontId="0" fillId="0" borderId="1" pivotButton="0" quotePrefix="0" xfId="0"/>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3"/>
  <sheetViews>
    <sheetView showGridLines="1" workbookViewId="0">
      <pane ySplit="1" topLeftCell="A2"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s>
  <sheetData>
    <row r="1" ht="32" customHeight="1">
      <c r="A1" s="1" t="inlineStr">
        <is>
          <t>Date / Year</t>
        </is>
      </c>
      <c r="B1" s="1" t="inlineStr">
        <is>
          <t>Actual Federal COLA (C_i)</t>
        </is>
      </c>
      <c r="C1" s="1" t="inlineStr">
        <is>
          <t>Rule of Four Hurdle Baseline</t>
        </is>
      </c>
      <c r="D1" s="1" t="inlineStr">
        <is>
          <t>Total Annual Hurdle Rate</t>
        </is>
      </c>
      <c r="E1" s="1" t="inlineStr">
        <is>
          <t>Total Annual Outflows (W_t)</t>
        </is>
      </c>
    </row>
    <row r="2">
      <c r="A2" s="2" t="n">
        <v>2026</v>
      </c>
      <c r="B2" s="3" t="n">
        <v>0.026</v>
      </c>
      <c r="C2" s="3" t="n">
        <v>0.02</v>
      </c>
      <c r="D2" s="3">
        <f>(1+B2)*(1+C2)</f>
        <v/>
      </c>
      <c r="E2" s="4" t="n"/>
    </row>
    <row r="3">
      <c r="A3" s="2" t="n">
        <v>2027</v>
      </c>
      <c r="B3" s="3" t="n"/>
      <c r="C3" s="3" t="n">
        <v>0.02</v>
      </c>
      <c r="D3" s="3">
        <f>(1+B3)*(1+C3)</f>
        <v/>
      </c>
      <c r="E3" s="4" t="n"/>
    </row>
    <row r="4">
      <c r="A4" s="2" t="n">
        <v>2028</v>
      </c>
      <c r="B4" s="3" t="n"/>
      <c r="C4" s="3" t="n">
        <v>0.02</v>
      </c>
      <c r="D4" s="3">
        <f>(1+B4)*(1+C4)</f>
        <v/>
      </c>
      <c r="E4" s="4" t="n"/>
    </row>
    <row r="5">
      <c r="A5" s="2" t="n">
        <v>2029</v>
      </c>
      <c r="B5" s="3" t="n"/>
      <c r="C5" s="3" t="n">
        <v>0.02</v>
      </c>
      <c r="D5" s="3">
        <f>(1+B5)*(1+C5)</f>
        <v/>
      </c>
      <c r="E5" s="4" t="n"/>
    </row>
    <row r="6">
      <c r="A6" s="2" t="n">
        <v>2030</v>
      </c>
      <c r="B6" s="3" t="n"/>
      <c r="C6" s="3" t="n">
        <v>0.02</v>
      </c>
      <c r="D6" s="3">
        <f>(1+B6)*(1+C6)</f>
        <v/>
      </c>
      <c r="E6" s="4" t="n"/>
    </row>
    <row r="7">
      <c r="A7" s="2" t="n">
        <v>2031</v>
      </c>
      <c r="B7" s="3" t="n"/>
      <c r="C7" s="3" t="n">
        <v>0.02</v>
      </c>
      <c r="D7" s="3">
        <f>(1+B7)*(1+C7)</f>
        <v/>
      </c>
      <c r="E7" s="4" t="n"/>
    </row>
    <row r="8">
      <c r="A8" s="2" t="n">
        <v>2032</v>
      </c>
      <c r="B8" s="3" t="n"/>
      <c r="C8" s="3" t="n">
        <v>0.02</v>
      </c>
      <c r="D8" s="3">
        <f>(1+B8)*(1+C8)</f>
        <v/>
      </c>
      <c r="E8" s="4" t="n"/>
    </row>
    <row r="9">
      <c r="A9" s="2" t="n">
        <v>2033</v>
      </c>
      <c r="B9" s="3" t="n"/>
      <c r="C9" s="3" t="n">
        <v>0.02</v>
      </c>
      <c r="D9" s="3">
        <f>(1+B9)*(1+C9)</f>
        <v/>
      </c>
      <c r="E9" s="4" t="n"/>
    </row>
    <row r="10">
      <c r="A10" s="2" t="n">
        <v>2034</v>
      </c>
      <c r="B10" s="3" t="n"/>
      <c r="C10" s="3" t="n">
        <v>0.02</v>
      </c>
      <c r="D10" s="3">
        <f>(1+B10)*(1+C10)</f>
        <v/>
      </c>
      <c r="E10" s="4" t="n"/>
    </row>
    <row r="11">
      <c r="A11" s="2" t="n">
        <v>2035</v>
      </c>
      <c r="B11" s="3" t="n"/>
      <c r="C11" s="3" t="n">
        <v>0.02</v>
      </c>
      <c r="D11" s="3">
        <f>(1+B11)*(1+C11)</f>
        <v/>
      </c>
      <c r="E11" s="4" t="n"/>
    </row>
    <row r="12"/>
    <row r="13">
      <c r="A13" s="5" t="inlineStr">
        <is>
          <t>Notes: Seed 2026 COLA is set; enter 2027-2035 COLA as it is announced each fall. Log actual annual $6k-$20k/mo withdrawal totals in column E as they occur.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showGridLines="1" workbookViewId="0">
      <pane ySplit="1" topLeftCell="A2" activePane="bottomLeft" state="frozen"/>
      <selection pane="bottomLeft" activeCell="A1" sqref="A1"/>
    </sheetView>
  </sheetViews>
  <sheetFormatPr baseColWidth="8" defaultRowHeight="15"/>
  <cols>
    <col width="30" customWidth="1" min="1" max="1"/>
    <col width="52" customWidth="1" min="2" max="2"/>
    <col width="15" customWidth="1" min="3" max="3"/>
    <col width="17" customWidth="1" min="4" max="4"/>
  </cols>
  <sheetData>
    <row r="1" ht="24" customHeight="1">
      <c r="A1" s="1" t="inlineStr">
        <is>
          <t>Asset Pool</t>
        </is>
      </c>
      <c r="B1" s="1" t="inlineStr">
        <is>
          <t>Custodian / Platform</t>
        </is>
      </c>
      <c r="C1" s="1" t="inlineStr">
        <is>
          <t>Live Balance</t>
        </is>
      </c>
      <c r="D1" s="1" t="inlineStr">
        <is>
          <t>Allocation Mix</t>
        </is>
      </c>
    </row>
    <row r="2">
      <c r="A2" s="6" t="inlineStr">
        <is>
          <t>Your Pre-Tax Account</t>
        </is>
      </c>
      <c r="B2" s="6" t="inlineStr">
        <is>
          <t>TSP G Fund</t>
        </is>
      </c>
      <c r="C2" s="4" t="n">
        <v>100000</v>
      </c>
      <c r="D2" s="3">
        <f>C2/$C$9</f>
        <v/>
      </c>
    </row>
    <row r="3">
      <c r="A3" s="6" t="inlineStr">
        <is>
          <t>Your Conversion Conduit</t>
        </is>
      </c>
      <c r="B3" s="6" t="inlineStr">
        <is>
          <t>Private Traditional IRA</t>
        </is>
      </c>
      <c r="C3" s="4" t="n">
        <v>100000</v>
      </c>
      <c r="D3" s="3">
        <f>C3/$C$9</f>
        <v/>
      </c>
    </row>
    <row r="4">
      <c r="A4" s="6" t="inlineStr">
        <is>
          <t>Your Tax-Free Growth</t>
        </is>
      </c>
      <c r="B4" s="6" t="inlineStr">
        <is>
          <t>Private Roth IRA</t>
        </is>
      </c>
      <c r="C4" s="4" t="n">
        <v>100000</v>
      </c>
      <c r="D4" s="3">
        <f>C4/$C$9</f>
        <v/>
      </c>
    </row>
    <row r="5">
      <c r="A5" s="6" t="inlineStr">
        <is>
          <t>Wife's Tax-Free Growth</t>
        </is>
      </c>
      <c r="B5" s="6" t="inlineStr">
        <is>
          <t>Private Roth IRA</t>
        </is>
      </c>
      <c r="C5" s="4" t="n">
        <v>100000</v>
      </c>
      <c r="D5" s="3">
        <f>C5/$C$9</f>
        <v/>
      </c>
    </row>
    <row r="6">
      <c r="A6" s="6" t="inlineStr">
        <is>
          <t>Wife's Safe Pre-Tax Account</t>
        </is>
      </c>
      <c r="B6" s="6" t="inlineStr">
        <is>
          <t>Current Employer 403b (Active + Reverse Rollover)</t>
        </is>
      </c>
      <c r="C6" s="4" t="n">
        <v>100000</v>
      </c>
      <c r="D6" s="3">
        <f>C6/$C$9</f>
        <v/>
      </c>
    </row>
    <row r="7">
      <c r="A7" s="6" t="inlineStr">
        <is>
          <t>Wife's Conversion Conduit</t>
        </is>
      </c>
      <c r="B7" s="6" t="inlineStr">
        <is>
          <t>Private Traditional IRA</t>
        </is>
      </c>
      <c r="C7" s="4" t="n">
        <v>100000</v>
      </c>
      <c r="D7" s="3">
        <f>C7/$C$9</f>
        <v/>
      </c>
    </row>
    <row r="8">
      <c r="A8" s="6" t="inlineStr">
        <is>
          <t>Short-Term Liquidity</t>
        </is>
      </c>
      <c r="B8" s="6" t="inlineStr">
        <is>
          <t>Merrill Edge Cash Buffer</t>
        </is>
      </c>
      <c r="C8" s="4" t="n">
        <v>100000</v>
      </c>
      <c r="D8" s="3">
        <f>C8/$C$9</f>
        <v/>
      </c>
    </row>
    <row r="9">
      <c r="A9" s="7" t="inlineStr">
        <is>
          <t>Total Household Net Worth</t>
        </is>
      </c>
      <c r="B9" s="7" t="n"/>
      <c r="C9" s="8">
        <f>SUM(C2:C8)</f>
        <v/>
      </c>
      <c r="D9" s="9">
        <f>C9/C9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5"/>
  <sheetViews>
    <sheetView showGridLines="1" workbookViewId="0">
      <pane ySplit="4" topLeftCell="A5" activePane="bottomLeft" state="frozen"/>
      <selection pane="bottomLeft" activeCell="A1" sqref="A1"/>
    </sheetView>
  </sheetViews>
  <sheetFormatPr baseColWidth="8" defaultRowHeight="15"/>
  <cols>
    <col width="42" customWidth="1" min="1" max="1"/>
    <col width="60" customWidth="1" min="2" max="2"/>
    <col width="18" customWidth="1" min="3" max="3"/>
    <col width="18" customWidth="1" min="4" max="4"/>
    <col width="18" customWidth="1" min="5" max="5"/>
  </cols>
  <sheetData>
    <row r="1">
      <c r="A1" s="7" t="inlineStr">
        <is>
          <t>Total Current Actual Wealth</t>
        </is>
      </c>
      <c r="B1" s="8">
        <f>'Account_Tracker'!$C$9</f>
        <v/>
      </c>
    </row>
    <row r="2">
      <c r="A2" s="5" t="inlineStr">
        <is>
          <t>Sequence-of-Returns-Risk (SRR) Shield: dynamic hurdle-tracking Refill Engine</t>
        </is>
      </c>
    </row>
    <row r="3"/>
    <row r="4" ht="32" customHeight="1">
      <c r="A4" s="1" t="inlineStr">
        <is>
          <t>Year</t>
        </is>
      </c>
      <c r="B4" s="1" t="inlineStr">
        <is>
          <t>Total Annual Hurdle Rate</t>
        </is>
      </c>
      <c r="C4" s="1" t="inlineStr">
        <is>
          <t>Annual Outflows (W_t)</t>
        </is>
      </c>
      <c r="D4" s="1" t="inlineStr">
        <is>
          <t>Simulated Target Portfolio (P_track)</t>
        </is>
      </c>
      <c r="E4" s="1" t="inlineStr">
        <is>
          <t>Performance Logic Trigger</t>
        </is>
      </c>
    </row>
    <row r="5">
      <c r="A5" s="2" t="n">
        <v>2026</v>
      </c>
      <c r="B5" s="3">
        <f>'Variables_And_Log'!D2</f>
        <v/>
      </c>
      <c r="C5" s="4">
        <f>'Variables_And_Log'!E2</f>
        <v/>
      </c>
      <c r="D5" s="4">
        <f>ROUND(($B$1*B5)-C5,2)</f>
        <v/>
      </c>
      <c r="E5" s="10">
        <f>IF(B$1&gt;=D5,"✅ GOOD: Execute T2065 Rebalance &amp; Rollover to TSP","⚠️ POOR: Freeze Equities. Draw Down G Fund")</f>
        <v/>
      </c>
    </row>
    <row r="6">
      <c r="A6" s="2" t="n">
        <v>2027</v>
      </c>
      <c r="B6" s="3">
        <f>'Variables_And_Log'!D3</f>
        <v/>
      </c>
      <c r="C6" s="4">
        <f>'Variables_And_Log'!E3</f>
        <v/>
      </c>
      <c r="D6" s="4">
        <f>ROUND((D5*B6)-C6,2)</f>
        <v/>
      </c>
      <c r="E6" s="10">
        <f>IF(B$1&gt;=D6,"✅ GOOD: Execute T2065 Rebalance &amp; Rollover to TSP","⚠️ POOR: Freeze Equities. Draw Down G Fund")</f>
        <v/>
      </c>
    </row>
    <row r="7">
      <c r="A7" s="2" t="n">
        <v>2028</v>
      </c>
      <c r="B7" s="3">
        <f>'Variables_And_Log'!D4</f>
        <v/>
      </c>
      <c r="C7" s="4">
        <f>'Variables_And_Log'!E4</f>
        <v/>
      </c>
      <c r="D7" s="4">
        <f>ROUND((D6*B7)-C7,2)</f>
        <v/>
      </c>
      <c r="E7" s="10">
        <f>IF(B$1&gt;=D7,"✅ GOOD: Execute T2065 Rebalance &amp; Rollover to TSP","⚠️ POOR: Freeze Equities. Draw Down G Fund")</f>
        <v/>
      </c>
    </row>
    <row r="8">
      <c r="A8" s="2" t="n">
        <v>2029</v>
      </c>
      <c r="B8" s="3">
        <f>'Variables_And_Log'!D5</f>
        <v/>
      </c>
      <c r="C8" s="4">
        <f>'Variables_And_Log'!E5</f>
        <v/>
      </c>
      <c r="D8" s="4">
        <f>ROUND((D7*B8)-C8,2)</f>
        <v/>
      </c>
      <c r="E8" s="10">
        <f>IF(B$1&gt;=D8,"✅ GOOD: Execute T2065 Rebalance &amp; Rollover to TSP","⚠️ POOR: Freeze Equities. Draw Down G Fund")</f>
        <v/>
      </c>
    </row>
    <row r="9">
      <c r="A9" s="2" t="n">
        <v>2030</v>
      </c>
      <c r="B9" s="3">
        <f>'Variables_And_Log'!D6</f>
        <v/>
      </c>
      <c r="C9" s="4">
        <f>'Variables_And_Log'!E6</f>
        <v/>
      </c>
      <c r="D9" s="4">
        <f>ROUND((D8*B9)-C9,2)</f>
        <v/>
      </c>
      <c r="E9" s="10">
        <f>IF(B$1&gt;=D9,"✅ GOOD: Execute T2065 Rebalance &amp; Rollover to TSP","⚠️ POOR: Freeze Equities. Draw Down G Fund")</f>
        <v/>
      </c>
    </row>
    <row r="10">
      <c r="A10" s="2" t="n">
        <v>2031</v>
      </c>
      <c r="B10" s="3">
        <f>'Variables_And_Log'!D7</f>
        <v/>
      </c>
      <c r="C10" s="4">
        <f>'Variables_And_Log'!E7</f>
        <v/>
      </c>
      <c r="D10" s="4">
        <f>ROUND((D9*B10)-C10,2)</f>
        <v/>
      </c>
      <c r="E10" s="10">
        <f>IF(B$1&gt;=D10,"✅ GOOD: Execute T2065 Rebalance &amp; Rollover to TSP","⚠️ POOR: Freeze Equities. Draw Down G Fund")</f>
        <v/>
      </c>
    </row>
    <row r="11">
      <c r="A11" s="2" t="n">
        <v>2032</v>
      </c>
      <c r="B11" s="3">
        <f>'Variables_And_Log'!D8</f>
        <v/>
      </c>
      <c r="C11" s="4">
        <f>'Variables_And_Log'!E8</f>
        <v/>
      </c>
      <c r="D11" s="4">
        <f>ROUND((D10*B11)-C11,2)</f>
        <v/>
      </c>
      <c r="E11" s="10">
        <f>IF(B$1&gt;=D11,"✅ GOOD: Execute T2065 Rebalance &amp; Rollover to TSP","⚠️ POOR: Freeze Equities. Draw Down G Fund")</f>
        <v/>
      </c>
    </row>
    <row r="12">
      <c r="A12" s="2" t="n">
        <v>2033</v>
      </c>
      <c r="B12" s="3">
        <f>'Variables_And_Log'!D9</f>
        <v/>
      </c>
      <c r="C12" s="4">
        <f>'Variables_And_Log'!E9</f>
        <v/>
      </c>
      <c r="D12" s="4">
        <f>ROUND((D11*B12)-C12,2)</f>
        <v/>
      </c>
      <c r="E12" s="10">
        <f>IF(B$1&gt;=D12,"✅ GOOD: Execute T2065 Rebalance &amp; Rollover to TSP","⚠️ POOR: Freeze Equities. Draw Down G Fund")</f>
        <v/>
      </c>
    </row>
    <row r="13">
      <c r="A13" s="2" t="n">
        <v>2034</v>
      </c>
      <c r="B13" s="3">
        <f>'Variables_And_Log'!D10</f>
        <v/>
      </c>
      <c r="C13" s="4">
        <f>'Variables_And_Log'!E10</f>
        <v/>
      </c>
      <c r="D13" s="4">
        <f>ROUND((D12*B13)-C13,2)</f>
        <v/>
      </c>
      <c r="E13" s="10">
        <f>IF(B$1&gt;=D13,"✅ GOOD: Execute T2065 Rebalance &amp; Rollover to TSP","⚠️ POOR: Freeze Equities. Draw Down G Fund")</f>
        <v/>
      </c>
    </row>
    <row r="14">
      <c r="A14" s="2" t="n">
        <v>2035</v>
      </c>
      <c r="B14" s="3">
        <f>'Variables_And_Log'!D11</f>
        <v/>
      </c>
      <c r="C14" s="4">
        <f>'Variables_And_Log'!E11</f>
        <v/>
      </c>
      <c r="D14" s="4">
        <f>ROUND((D13*B14)-C14,2)</f>
        <v/>
      </c>
      <c r="E14" s="10">
        <f>IF(B$1&gt;=D14,"✅ GOOD: Execute T2065 Rebalance &amp; Rollover to TSP","⚠️ POOR: Freeze Equities. Draw Down G Fund")</f>
        <v/>
      </c>
    </row>
    <row r="15"/>
    <row r="16">
      <c r="A16" s="11" t="inlineStr">
        <is>
          <t>EXTRA CAPACITY INDICATORS</t>
        </is>
      </c>
      <c r="B16" s="12" t="n"/>
      <c r="C16" s="13" t="n"/>
    </row>
    <row r="17">
      <c r="A17" s="14" t="inlineStr">
        <is>
          <t>Your Pre-Tax Rollover Conduit Capacity</t>
        </is>
      </c>
      <c r="B17" s="4">
        <f>'Account_Tracker'!$C$3</f>
        <v/>
      </c>
      <c r="C17" s="7">
        <f>IF(B17&gt;0,"Conduit Open","Conduit Closed")</f>
        <v/>
      </c>
    </row>
    <row r="18"/>
    <row r="19">
      <c r="A19" s="14" t="inlineStr">
        <is>
          <t>TSP Cash Buffer Runway (Months)</t>
        </is>
      </c>
      <c r="B19" s="15">
        <f>IFERROR('Account_Tracker'!$C$2/('Variables_And_Log'!$E$2/12),"Log Outflows to Calculate")</f>
        <v/>
      </c>
      <c r="C19" s="7">
        <f>IF(ISNUMBER(B19),IF(B19&gt;36,"Safe: 3+ Year Volatility Shield","Caution: Shield Shrinking"),"Awaiting Outflow Data")</f>
        <v/>
      </c>
    </row>
    <row r="20">
      <c r="A20" s="5" t="inlineStr">
        <is>
          <t>(Runway assumes the current year's logged outflow rate persists steadily.)</t>
        </is>
      </c>
    </row>
    <row r="21"/>
    <row r="22">
      <c r="A22" s="11" t="inlineStr">
        <is>
          <t>EMERGENCY LIQUIDITY PROTOCOL — NEXT-DOLLAR PRIORITY ENGINE</t>
        </is>
      </c>
      <c r="B22" s="12" t="n"/>
      <c r="C22" s="12" t="n"/>
      <c r="D22" s="12" t="n"/>
      <c r="E22" s="13" t="n"/>
    </row>
    <row r="23" ht="60" customHeight="1">
      <c r="A23" s="14" t="inlineStr">
        <is>
          <t>Next-Dollar Liquidity Priority</t>
        </is>
      </c>
      <c r="B23" s="16">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Wife's Current Employer 403b. Her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23" s="17" t="n"/>
      <c r="D23" s="17" t="n"/>
      <c r="E23" s="17" t="n"/>
    </row>
    <row r="24" ht="20" customHeight="1">
      <c r="B24" s="17" t="n"/>
      <c r="C24" s="17" t="n"/>
      <c r="D24" s="17" t="n"/>
      <c r="E24" s="17" t="n"/>
    </row>
    <row r="25" ht="20" customHeight="1">
      <c r="B25" s="17" t="n"/>
      <c r="C25" s="17" t="n"/>
      <c r="D25" s="17" t="n"/>
      <c r="E25" s="17" t="n"/>
    </row>
  </sheetData>
  <mergeCells count="4">
    <mergeCell ref="A22:E22"/>
    <mergeCell ref="A16:C16"/>
    <mergeCell ref="A23"/>
    <mergeCell ref="B23:E25"/>
  </mergeCells>
  <conditionalFormatting sqref="B23:B25">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2026-09-02T01:35:48Z</dcterms:created>
  <dcterms:modified xmlns:dcterms="http://purl.org/dc/terms/" xmlns:xsi="http://www.w3.org/2001/XMLSchema-instance" xsi:type="dcterms:W3CDTF">2026-09-02T01:35:48Z</dcterms:modified>
</cp:coreProperties>
</file>