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 xmlns:r="http://schemas.openxmlformats.org/officeDocument/2006/relationships" name="Graph" sheetId="5" state="visible" r:id="rId5"/>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6">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3" fillId="0" borderId="0" applyAlignment="1" pivotButton="0" quotePrefix="0" xfId="0">
      <alignment horizontal="right" vertical="top"/>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1" fontId="2" fillId="4" borderId="1" pivotButton="0" quotePrefix="0" xfId="0"/>
    <xf numFmtId="1" fontId="3" fillId="5"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Household Wealth: Original vs. Current Projection vs. Actual, By Quarter</a:t>
            </a:r>
          </a:p>
        </rich>
      </tx>
    </title>
    <plotArea>
      <barChart>
        <barDir val="col"/>
        <grouping val="clustered"/>
        <ser>
          <idx val="0"/>
          <order val="0"/>
          <tx>
            <strRef>
              <f>'The_Refill_Engine'!L19</f>
            </strRef>
          </tx>
          <spPr>
            <a:solidFill xmlns:a="http://schemas.openxmlformats.org/drawingml/2006/main">
              <a:srgbClr val="44546A"/>
            </a:solidFill>
            <a:ln xmlns:a="http://schemas.openxmlformats.org/drawingml/2006/main">
              <a:prstDash val="solid"/>
            </a:ln>
          </spPr>
          <cat>
            <numRef>
              <f>'The_Refill_Engine'!$A$20:$B$59</f>
            </numRef>
          </cat>
          <val>
            <numRef>
              <f>'The_Refill_Engine'!$L$20:$L$59</f>
            </numRef>
          </val>
        </ser>
        <ser>
          <idx val="1"/>
          <order val="1"/>
          <tx>
            <strRef>
              <f>'The_Refill_Engine'!K19</f>
            </strRef>
          </tx>
          <spPr>
            <a:solidFill xmlns:a="http://schemas.openxmlformats.org/drawingml/2006/main">
              <a:srgbClr val="1F3864"/>
            </a:solidFill>
            <a:ln xmlns:a="http://schemas.openxmlformats.org/drawingml/2006/main">
              <a:prstDash val="solid"/>
            </a:ln>
          </spPr>
          <cat>
            <numRef>
              <f>'The_Refill_Engine'!$A$20:$B$59</f>
            </numRef>
          </cat>
          <val>
            <numRef>
              <f>'The_Refill_Engine'!$K$20:$K$59</f>
            </numRef>
          </val>
        </ser>
        <ser>
          <idx val="2"/>
          <order val="2"/>
          <tx>
            <strRef>
              <f>'The_Refill_Engine'!J19</f>
            </strRef>
          </tx>
          <spPr>
            <a:solidFill xmlns:a="http://schemas.openxmlformats.org/drawingml/2006/main">
              <a:srgbClr val="E8A33D"/>
            </a:solidFill>
            <a:ln xmlns:a="http://schemas.openxmlformats.org/drawingml/2006/main">
              <a:prstDash val="solid"/>
            </a:ln>
          </spPr>
          <cat>
            <numRef>
              <f>'The_Refill_Engine'!$A$20:$B$59</f>
            </numRef>
          </cat>
          <val>
            <numRef>
              <f>'The_Refill_Engine'!$J$20:$J$59</f>
            </numRef>
          </val>
        </ser>
        <gapWidth val="150"/>
        <overlap val="-10"/>
        <axId val="10"/>
        <axId val="100"/>
      </barChart>
      <catAx>
        <axId val="10"/>
        <scaling>
          <orientation val="minMax"/>
        </scaling>
        <axPos val="l"/>
        <title>
          <tx>
            <rich>
              <a:bodyPr xmlns:a="http://schemas.openxmlformats.org/drawingml/2006/main"/>
              <a:p xmlns:a="http://schemas.openxmlformats.org/drawingml/2006/main">
                <a:pPr>
                  <a:defRPr/>
                </a:pPr>
                <a:r>
                  <a:t>Year / 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Household Wealth ($)</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115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53"/>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DOCUMENTATION &amp; USER GUIDE</t>
        </is>
      </c>
      <c r="B1" s="1" t="n"/>
    </row>
    <row r="3" ht="20" customHeight="1">
      <c r="A3" s="2" t="inlineStr">
        <is>
          <t>WHY THIS SPREADSHEET EXISTS</t>
        </is>
      </c>
      <c r="B3" s="2" t="n"/>
    </row>
    <row r="4" ht="83" customHeight="1">
      <c r="B4" s="3" t="inlineStr">
        <is>
          <t>This workbook manages a two-bucket, decumulation-phase retirement income strategy built to protect the household from Sequence-of-Returns Risk (SRR) -- the danger that a market downturn early in retirement forces the sale of depreciated stocks to cover monthly living expenses, permanently damaging the portfolio's ability to recover. The strategy rests on three ideas, described below.</t>
        </is>
      </c>
    </row>
    <row r="5" ht="83" customHeight="1">
      <c r="B5" s="3" t="inlineStr">
        <is>
          <t>1. The TSP G Fund as a "free lunch" cash vault. By law, the G Fund earns the yield of intermediate- to long-term Treasuries while never losing principal value and staying instantly liquid. It serves as the household's operating cash account -- monthly bills are paid straight out of it, so equities are never sold to cover routine expenses.</t>
        </is>
      </c>
    </row>
    <row r="6" ht="98" customHeight="1">
      <c r="B6" s="3" t="inlineStr">
        <is>
          <t>2. A dynamic Refill Engine, not a fixed withdrawal rate. Instead of a static 4%-rule, this workbook tracks a real-growth hurdle (COLA layered on a fixed real-growth baseline) year over year. When actual household wealth clears that hurdle, it's safe to harvest equity gains and roll them back into the G Fund to top the shield back up. When wealth falls short, all equity sales freeze and the G Fund alone absorbs spending, giving stocks time to recover.</t>
        </is>
      </c>
    </row>
    <row r="7" ht="83" customHeight="1">
      <c r="B7" s="3" t="inlineStr">
        <is>
          <t>3. Asset location by account. Safe, fixed-income assets are deliberately concentrated in accounts built for stability (the TSP G Fund, a spouse's workplace plan), while private IRAs hold the aggressive growth positions and serve as Roth-conversion conduits -- keeping each spouse's accounts doing the job they're best suited for.</t>
        </is>
      </c>
    </row>
    <row r="9" ht="20" customHeight="1">
      <c r="A9" s="2" t="inlineStr">
        <is>
          <t>HOW THE FIVE TABS WORK TOGETHER</t>
        </is>
      </c>
      <c r="B9" s="2" t="n"/>
    </row>
    <row r="10" ht="53" customHeight="1">
      <c r="B10" s="3" t="inlineStr">
        <is>
          <t>Documentation (this tab) -- Motivation, how-to, a quarterly checklist, the color legend, and a glossary. Nothing here feeds any formula; it's for the humans using the sheet.</t>
        </is>
      </c>
    </row>
    <row r="11" ht="83" customHeight="1">
      <c r="B11" s="3" t="inlineStr">
        <is>
          <t>Variables_And_Log -- Where you log the things that change constantly: the actual Social Security/Federal COLA each year, every month's actual TSP -&gt; checking payment, the tax cost of any Roth conversion (funded separately, from non-TSP accounts), and once a year, your actual total household balance. Everything else on this tab is a formula built from those inputs.</t>
        </is>
      </c>
    </row>
    <row r="12" ht="68" customHeight="1">
      <c r="B12" s="3" t="inlineStr">
        <is>
          <t>Account_Tracker -- A snapshot of every account's live balance, updated by hand whenever you check statements (aim for at least quarterly). This is the single source of truth for household net worth that every other tab's formulas reference.</t>
        </is>
      </c>
    </row>
    <row r="13" ht="203" customHeight="1">
      <c r="B13" s="3" t="inlineStr">
        <is>
          <t>The_Refill_Engine -- The decision-making tab. A block of configured inputs (Retirement Start Year, Ramp Length, the G Fund target percentages, etc.) each carry a Default, an optional Override, and the resulting Effective value everything else on the tab actually uses. The Quarterly Refill Engine table is the headline output -- each quarter it tells you how much (if anything) to move from a private pre-tax account into the TSP G Fund. Below that, the Annual SRR Hurdle Model is the strategic gauge: GOOD vs. POOR for the year is decided using wealth adjusted to add back any logged Roth conversion cost, so a planned tax bill is never mistaken for a market downturn -- but every real dollar amount (the Safety Anchor balance, recommended transfers) is sized off real, unadjusted wealth, since the G Fund can only ever hold real dollars. The Emergency Liquidity Protocol tells you, in a full-blown crisis, exactly which account to draw from next.</t>
        </is>
      </c>
    </row>
    <row r="14" ht="68" customHeight="1">
      <c r="B14" s="3" t="inlineStr">
        <is>
          <t>Graph -- A single chart, read-only, pulling straight from The_Refill_Engine's Quarterly Refill Engine table: Original Predicted Wealth vs. Current Predicted Wealth vs. Actual Balance, by quarter. Kept on its own tab so it never crowds the data-entry tabs -- open it only when you want the picture.</t>
        </is>
      </c>
    </row>
    <row r="16" ht="20" customHeight="1">
      <c r="A16" s="2" t="inlineStr">
        <is>
          <t>YOUR QUARTERLY CHECKLIST</t>
        </is>
      </c>
      <c r="B16" s="2" t="n"/>
    </row>
    <row r="17" ht="23" customHeight="1">
      <c r="A17" s="4" t="inlineStr">
        <is>
          <t>1.</t>
        </is>
      </c>
      <c r="B17" s="3" t="inlineStr">
        <is>
          <t>Update Account_Tracker with current balances from your statements.</t>
        </is>
      </c>
    </row>
    <row r="18" ht="38" customHeight="1">
      <c r="A18" s="4" t="inlineStr">
        <is>
          <t>2.</t>
        </is>
      </c>
      <c r="B18" s="3" t="inlineStr">
        <is>
          <t>Confirm Variables_And_Log has this quarter's three monthly TSP payments logged.</t>
        </is>
      </c>
    </row>
    <row r="19" ht="38" customHeight="1">
      <c r="A19" s="4" t="inlineStr">
        <is>
          <t>3.</t>
        </is>
      </c>
      <c r="B19" s="3" t="inlineStr">
        <is>
          <t>Open The_Refill_Engine and find this quarter's row in the Quarterly Refill Engine table.</t>
        </is>
      </c>
    </row>
    <row r="20" ht="38" customHeight="1">
      <c r="A20" s="4" t="inlineStr">
        <is>
          <t>4.</t>
        </is>
      </c>
      <c r="B20" s="3" t="inlineStr">
        <is>
          <t>Check the "Recommended Transfer This Quarter" cell. If it's $0, do nothing -- the shield is intact or the market hasn't cleared its hurdle yet.</t>
        </is>
      </c>
    </row>
    <row r="21" ht="38" customHeight="1">
      <c r="A21" s="4" t="inlineStr">
        <is>
          <t>5.</t>
        </is>
      </c>
      <c r="B21" s="3" t="inlineStr">
        <is>
          <t>If it's a positive number, execute a pre-tax rollover of that amount from your Conversion Conduit (Traditional IRA) into the TSP G Fund.</t>
        </is>
      </c>
    </row>
    <row r="22" ht="53" customHeight="1">
      <c r="A22" s="4" t="inlineStr">
        <is>
          <t>6.</t>
        </is>
      </c>
      <c r="B22" s="3" t="inlineStr">
        <is>
          <t>Log whatever you actually transferred in the "Actual Transferred" column, even if it matches the recommendation exactly -- leaving it blank makes the sheet assume the recommendation happened.</t>
        </is>
      </c>
    </row>
    <row r="23" ht="53" customHeight="1">
      <c r="A23" s="4" t="inlineStr">
        <is>
          <t>7.</t>
        </is>
      </c>
      <c r="B23" s="3" t="inlineStr">
        <is>
          <t>If you executed a Roth conversion this year, log its tax cost (IRA funds used minus the resulting Roth deposit) in Variables_And_Log -- this keeps it from skewing the GOOD/POOR trigger.</t>
        </is>
      </c>
    </row>
    <row r="24" ht="53" customHeight="1">
      <c r="A24" s="4" t="inlineStr">
        <is>
          <t>8.</t>
        </is>
      </c>
      <c r="B24" s="3" t="inlineStr">
        <is>
          <t>Log this quarter's real total household balance in the "Actual Balance (Logged, This Quarter)" column of the Quarterly Refill Engine table, so the Graph tab has something to plot against the projections.</t>
        </is>
      </c>
    </row>
    <row r="25" ht="68" customHeight="1">
      <c r="A25" s="4" t="inlineStr">
        <is>
          <t>9.</t>
        </is>
      </c>
      <c r="B25" s="3" t="inlineStr">
        <is>
          <t>The first time your real starting balances and assumptions are in Google Sheets, select The_Refill_Engine's Original Predicted Wealth column and Paste Special -&gt; Values Only over itself, once, to freeze it as your baseline -- never touch it again after that.</t>
        </is>
      </c>
    </row>
    <row r="26" ht="38" customHeight="1">
      <c r="A26" s="4" t="inlineStr">
        <is>
          <t>10.</t>
        </is>
      </c>
      <c r="B26" s="3" t="inlineStr">
        <is>
          <t>If the TSP G Fund is ever fully drawn down, check the Emergency Liquidity Protocol block for the next-dollar priority order.</t>
        </is>
      </c>
    </row>
    <row r="28" ht="20" customHeight="1">
      <c r="A28" s="2" t="inlineStr">
        <is>
          <t>COLOR LEGEND</t>
        </is>
      </c>
      <c r="B28" s="2" t="n"/>
    </row>
    <row r="29" ht="23" customHeight="1">
      <c r="A29" s="5" t="n"/>
      <c r="B29" s="3" t="inlineStr">
        <is>
          <t>Pale yellow -- type your own numbers here.</t>
        </is>
      </c>
    </row>
    <row r="30" ht="23" customHeight="1">
      <c r="A30" s="6" t="n"/>
      <c r="B30" s="3" t="inlineStr">
        <is>
          <t>White (no fill) -- a formula; please leave it alone.</t>
        </is>
      </c>
    </row>
    <row r="31" ht="23" customHeight="1">
      <c r="A31" s="7" t="n"/>
      <c r="B31" s="3" t="inlineStr">
        <is>
          <t>Ice blue -- a computed summary or headline total.</t>
        </is>
      </c>
    </row>
    <row r="32" ht="23" customHeight="1">
      <c r="A32" s="8" t="n"/>
      <c r="B32" s="3" t="inlineStr">
        <is>
          <t>Green (Emergency Liquidity Protocol only) -- the TSP G Fund shield is active.</t>
        </is>
      </c>
    </row>
    <row r="33" ht="38" customHeight="1">
      <c r="A33" s="9" t="n"/>
      <c r="B33" s="3" t="inlineStr">
        <is>
          <t>Yellow (Emergency Liquidity Protocol only) -- the G Fund is exhausted; drawing from the cash buffer.</t>
        </is>
      </c>
    </row>
    <row r="34" ht="38" customHeight="1">
      <c r="A34" s="10" t="n"/>
      <c r="B34" s="3" t="inlineStr">
        <is>
          <t>Red (Emergency Liquidity Protocol only) -- both cash shields are exhausted; the household is in an emergency-liquidation stage.</t>
        </is>
      </c>
    </row>
    <row r="36" ht="20" customHeight="1">
      <c r="A36" s="2" t="inlineStr">
        <is>
          <t>GLOSSARY</t>
        </is>
      </c>
      <c r="B36" s="2" t="n"/>
    </row>
    <row r="37">
      <c r="A37" s="11" t="inlineStr">
        <is>
          <t>Term</t>
        </is>
      </c>
      <c r="B37" s="11" t="inlineStr">
        <is>
          <t>Definition</t>
        </is>
      </c>
    </row>
    <row r="38" ht="38" customHeight="1">
      <c r="A38" s="12" t="inlineStr">
        <is>
          <t>COLA</t>
        </is>
      </c>
      <c r="B38" s="13" t="inlineStr">
        <is>
          <t>The federal Cost-of-Living Adjustment, applied annually to Social Security/federal retirement benefits.</t>
        </is>
      </c>
    </row>
    <row r="39" ht="38" customHeight="1">
      <c r="A39" s="12" t="inlineStr">
        <is>
          <t>Hurdle Rate</t>
        </is>
      </c>
      <c r="B39" s="13" t="inlineStr">
        <is>
          <t>The minimum real (inflation-adjusted) growth rate the portfolio needs to clear to be considered "on track" -- COLA layered on a fixed real-growth baseline.</t>
        </is>
      </c>
    </row>
    <row r="40" ht="23" customHeight="1">
      <c r="A40" s="12" t="inlineStr">
        <is>
          <t>W_t / W_q</t>
        </is>
      </c>
      <c r="B40" s="13" t="inlineStr">
        <is>
          <t>Total dollar outflows (withdrawals) for a given year (t) or quarter (q).</t>
        </is>
      </c>
    </row>
    <row r="41" ht="38" customHeight="1">
      <c r="A41" s="12" t="inlineStr">
        <is>
          <t>P_track</t>
        </is>
      </c>
      <c r="B41" s="13" t="inlineStr">
        <is>
          <t>The simulated target portfolio value that the household's actual wealth is measured against each year.</t>
        </is>
      </c>
    </row>
    <row r="42" ht="38" customHeight="1">
      <c r="A42" s="12" t="inlineStr">
        <is>
          <t>SRR</t>
        </is>
      </c>
      <c r="B42" s="13" t="inlineStr">
        <is>
          <t>Sequence-of-Returns Risk -- the risk that a downturn early in retirement forces permanent sale of depreciated assets.</t>
        </is>
      </c>
    </row>
    <row r="43" ht="38" customHeight="1">
      <c r="A43" s="12" t="inlineStr">
        <is>
          <t>TSP G Fund</t>
        </is>
      </c>
      <c r="B43" s="13" t="inlineStr">
        <is>
          <t>The federal Thrift Savings Plan's government-securities fund: principal-protected, instantly liquid, and the household's operating cash vault.</t>
        </is>
      </c>
    </row>
    <row r="44" ht="98" customHeight="1">
      <c r="A44" s="12" t="inlineStr">
        <is>
          <t>Safety Anchor</t>
        </is>
      </c>
      <c r="B44" s="13" t="inlineStr">
        <is>
          <t>The G Fund cash buffer this engine tries to maintain. Ramps linearly (on The_Refill_Engine) from a Starting % down to an Ending % over the Ramp Length, then holds flat -- largest during the early years when SRR risk is heavily front-loaded, easing as that window passes. Applied each year to that year's projected wealth (P_track), not to today's balance, so the dollar target keeps moving with the plan instead of staying pinned to today's net worth.</t>
        </is>
      </c>
    </row>
    <row r="45" ht="53" customHeight="1">
      <c r="A45" s="12" t="inlineStr">
        <is>
          <t>Ramp Length</t>
        </is>
      </c>
      <c r="B45" s="13" t="inlineStr">
        <is>
          <t>How many years the G Fund target percentage takes to slide from its Starting % to its Ending %, before holding flat. A configured input on The_Refill_Engine.</t>
        </is>
      </c>
    </row>
    <row r="46" ht="68" customHeight="1">
      <c r="A46" s="12" t="inlineStr">
        <is>
          <t>Default / Override / Effective</t>
        </is>
      </c>
      <c r="B46" s="13" t="inlineStr">
        <is>
          <t>The three-column pattern used for every configured input on The_Refill_Engine. Default is the built-in value; Override is blank unless you want to change it; Effective is whichever one is actually in force, and is what every other formula on the tab references.</t>
        </is>
      </c>
    </row>
    <row r="47" ht="83" customHeight="1">
      <c r="A47" s="12" t="inlineStr">
        <is>
          <t>Adjusted Actual Wealth</t>
        </is>
      </c>
      <c r="B47" s="13" t="inlineStr">
        <is>
          <t>Account_Tracker's live total plus the cumulative Roth conversion tax cost logged to date. Used ONLY for the GOOD/POOR trigger comparison (against Market Performance Basis, below), so a planned conversion's tax bill isn't mistaken for a market downturn. Never used to size a real dollar amount -- see Market Performance Basis.</t>
        </is>
      </c>
    </row>
    <row r="48" ht="83" customHeight="1">
      <c r="A48" s="12" t="inlineStr">
        <is>
          <t>Market Performance Basis</t>
        </is>
      </c>
      <c r="B48" s="13" t="inlineStr">
        <is>
          <t>A column on the Annual SRR Hurdle Model, seeded from Adjusted Actual Wealth instead of the real balance -- the same hurdle-rate trajectory as Current Predicted Wealth (P_track), just tax-adjusted. Exists only to give the GOOD/POOR trigger a fair comparison; nothing that sizes a real dollar amount (Safety Anchor balance, recommended transfers) ever references it.</t>
        </is>
      </c>
    </row>
    <row r="49" ht="83" customHeight="1">
      <c r="A49" s="12" t="inlineStr">
        <is>
          <t>Original Predicted Wealth</t>
        </is>
      </c>
      <c r="B49" s="13" t="inlineStr">
        <is>
          <t>A column on the Annual SRR Hurdle Model that mirrors Current Predicted Wealth (P_track) -- the real, unadjusted trajectory -- until you freeze it by hand (Paste Special -&gt; Values Only, once, after your real numbers are in). After that it stays fixed as your baseline while Current keeps moving with your latest assumptions. Feeds the Graph tab.</t>
        </is>
      </c>
    </row>
    <row r="50" ht="68" customHeight="1">
      <c r="A50" s="12" t="inlineStr">
        <is>
          <t>Actual Balance</t>
        </is>
      </c>
      <c r="B50" s="13" t="inlineStr">
        <is>
          <t>Your real total household balance, logged each quarter directly on the Quarterly Refill Engine table. Compared on the Graph tab against Current and Original Predicted Wealth, which are only computed once a year and interpolated between quarters for that comparison -- not a new quarterly hurdle-rate model.</t>
        </is>
      </c>
    </row>
    <row r="51" ht="38" customHeight="1">
      <c r="A51" s="12" t="inlineStr">
        <is>
          <t>Conduit</t>
        </is>
      </c>
      <c r="B51" s="13" t="inlineStr">
        <is>
          <t>A Traditional IRA used as a pass-through for pre-tax rollovers back into the TSP.</t>
        </is>
      </c>
    </row>
    <row r="52" ht="38" customHeight="1">
      <c r="A52" s="12" t="inlineStr">
        <is>
          <t>Rollover</t>
        </is>
      </c>
      <c r="B52" s="13" t="inlineStr">
        <is>
          <t>A pre-tax transfer of funds between retirement accounts (e.g. Traditional IRA to TSP) that doesn't trigger a taxable distribution.</t>
        </is>
      </c>
    </row>
    <row r="53" ht="23" customHeight="1">
      <c r="A53" s="12" t="inlineStr">
        <is>
          <t>Allocation Mix</t>
        </is>
      </c>
      <c r="B53" s="13" t="inlineStr">
        <is>
          <t>Each account's share of total household net worth, shown on Account_Tracker.</t>
        </is>
      </c>
    </row>
  </sheetData>
  <mergeCells count="6">
    <mergeCell ref="A16:B16"/>
    <mergeCell ref="A28:B28"/>
    <mergeCell ref="A36:B36"/>
    <mergeCell ref="A1:B1"/>
    <mergeCell ref="A9:B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8" customWidth="1" min="18" max="18"/>
  </cols>
  <sheetData>
    <row r="1" ht="20" customHeight="1">
      <c r="A1" s="2" t="inlineStr">
        <is>
          <t>HOUSEHOLD VARIABLE LOG — ANNUAL HURDLE INPUTS, MONTHLY TSP → CHECKING PAYMENT LOG &amp; ROTH CONVERSION COST (2026-2035)</t>
        </is>
      </c>
      <c r="B1" s="2" t="n"/>
      <c r="C1" s="2" t="n"/>
      <c r="D1" s="2" t="n"/>
      <c r="E1" s="2" t="n"/>
      <c r="F1" s="2" t="n"/>
      <c r="G1" s="2" t="n"/>
      <c r="H1" s="2" t="n"/>
      <c r="I1" s="2" t="n"/>
      <c r="J1" s="2" t="n"/>
      <c r="K1" s="2" t="n"/>
      <c r="L1" s="2" t="n"/>
      <c r="M1" s="2" t="n"/>
      <c r="N1" s="2" t="n"/>
      <c r="O1" s="2" t="n"/>
      <c r="P1" s="2" t="n"/>
      <c r="Q1" s="2" t="n"/>
      <c r="R1" s="2" t="n"/>
    </row>
    <row r="2" ht="32" customHeight="1">
      <c r="A2" s="11" t="inlineStr">
        <is>
          <t>Date / Year</t>
        </is>
      </c>
      <c r="B2" s="11" t="inlineStr">
        <is>
          <t>Actual Federal COLA (C_i)</t>
        </is>
      </c>
      <c r="C2" s="11" t="inlineStr">
        <is>
          <t>Rule of Four Hurdle Baseline</t>
        </is>
      </c>
      <c r="D2" s="11" t="inlineStr">
        <is>
          <t>Total Annual Hurdle Rate</t>
        </is>
      </c>
      <c r="E2" s="11" t="inlineStr">
        <is>
          <t>Total Annual Outflows (W_t)</t>
        </is>
      </c>
      <c r="F2" s="11" t="inlineStr">
        <is>
          <t>Jan</t>
        </is>
      </c>
      <c r="G2" s="11" t="inlineStr">
        <is>
          <t>Feb</t>
        </is>
      </c>
      <c r="H2" s="11" t="inlineStr">
        <is>
          <t>Mar</t>
        </is>
      </c>
      <c r="I2" s="11" t="inlineStr">
        <is>
          <t>Apr</t>
        </is>
      </c>
      <c r="J2" s="11" t="inlineStr">
        <is>
          <t>May</t>
        </is>
      </c>
      <c r="K2" s="11" t="inlineStr">
        <is>
          <t>Jun</t>
        </is>
      </c>
      <c r="L2" s="11" t="inlineStr">
        <is>
          <t>Jul</t>
        </is>
      </c>
      <c r="M2" s="11" t="inlineStr">
        <is>
          <t>Aug</t>
        </is>
      </c>
      <c r="N2" s="11" t="inlineStr">
        <is>
          <t>Sep</t>
        </is>
      </c>
      <c r="O2" s="11" t="inlineStr">
        <is>
          <t>Oct</t>
        </is>
      </c>
      <c r="P2" s="11" t="inlineStr">
        <is>
          <t>Nov</t>
        </is>
      </c>
      <c r="Q2" s="11" t="inlineStr">
        <is>
          <t>Dec</t>
        </is>
      </c>
      <c r="R2" s="11" t="inlineStr">
        <is>
          <t>Roth Conversion Tax Cost (This Year)</t>
        </is>
      </c>
    </row>
    <row r="3">
      <c r="A3" s="14" t="n">
        <v>2026</v>
      </c>
      <c r="B3" s="15" t="n">
        <v>0.026</v>
      </c>
      <c r="C3" s="16" t="n">
        <v>0.02</v>
      </c>
      <c r="D3" s="16">
        <f>(1+B3)*(1+C3)</f>
        <v/>
      </c>
      <c r="E3" s="17">
        <f>SUM(F3:Q3)</f>
        <v/>
      </c>
      <c r="F3" s="18" t="n"/>
      <c r="G3" s="18" t="n"/>
      <c r="H3" s="18" t="n"/>
      <c r="I3" s="18" t="n"/>
      <c r="J3" s="18" t="n"/>
      <c r="K3" s="18" t="n"/>
      <c r="L3" s="18" t="n"/>
      <c r="M3" s="18" t="n"/>
      <c r="N3" s="18" t="n"/>
      <c r="O3" s="18" t="n"/>
      <c r="P3" s="18" t="n"/>
      <c r="Q3" s="18" t="n"/>
      <c r="R3" s="18" t="n">
        <v>0</v>
      </c>
    </row>
    <row r="4">
      <c r="A4" s="14" t="n">
        <v>2027</v>
      </c>
      <c r="B4" s="15" t="n"/>
      <c r="C4" s="16" t="n">
        <v>0.02</v>
      </c>
      <c r="D4" s="16">
        <f>(1+B4)*(1+C4)</f>
        <v/>
      </c>
      <c r="E4" s="17">
        <f>SUM(F4:Q4)</f>
        <v/>
      </c>
      <c r="F4" s="18" t="n"/>
      <c r="G4" s="18" t="n"/>
      <c r="H4" s="18" t="n"/>
      <c r="I4" s="18" t="n"/>
      <c r="J4" s="18" t="n"/>
      <c r="K4" s="18" t="n"/>
      <c r="L4" s="18" t="n"/>
      <c r="M4" s="18" t="n"/>
      <c r="N4" s="18" t="n"/>
      <c r="O4" s="18" t="n"/>
      <c r="P4" s="18" t="n"/>
      <c r="Q4" s="18" t="n"/>
      <c r="R4" s="18" t="n">
        <v>0</v>
      </c>
    </row>
    <row r="5">
      <c r="A5" s="14" t="n">
        <v>2028</v>
      </c>
      <c r="B5" s="15" t="n"/>
      <c r="C5" s="16" t="n">
        <v>0.02</v>
      </c>
      <c r="D5" s="16">
        <f>(1+B5)*(1+C5)</f>
        <v/>
      </c>
      <c r="E5" s="17">
        <f>SUM(F5:Q5)</f>
        <v/>
      </c>
      <c r="F5" s="18" t="n"/>
      <c r="G5" s="18" t="n"/>
      <c r="H5" s="18" t="n"/>
      <c r="I5" s="18" t="n"/>
      <c r="J5" s="18" t="n"/>
      <c r="K5" s="18" t="n"/>
      <c r="L5" s="18" t="n"/>
      <c r="M5" s="18" t="n"/>
      <c r="N5" s="18" t="n"/>
      <c r="O5" s="18" t="n"/>
      <c r="P5" s="18" t="n"/>
      <c r="Q5" s="18" t="n"/>
      <c r="R5" s="18" t="n">
        <v>0</v>
      </c>
    </row>
    <row r="6">
      <c r="A6" s="14" t="n">
        <v>2029</v>
      </c>
      <c r="B6" s="15" t="n"/>
      <c r="C6" s="16" t="n">
        <v>0.02</v>
      </c>
      <c r="D6" s="16">
        <f>(1+B6)*(1+C6)</f>
        <v/>
      </c>
      <c r="E6" s="17">
        <f>SUM(F6:Q6)</f>
        <v/>
      </c>
      <c r="F6" s="18" t="n"/>
      <c r="G6" s="18" t="n"/>
      <c r="H6" s="18" t="n"/>
      <c r="I6" s="18" t="n"/>
      <c r="J6" s="18" t="n"/>
      <c r="K6" s="18" t="n"/>
      <c r="L6" s="18" t="n"/>
      <c r="M6" s="18" t="n"/>
      <c r="N6" s="18" t="n"/>
      <c r="O6" s="18" t="n"/>
      <c r="P6" s="18" t="n"/>
      <c r="Q6" s="18" t="n"/>
      <c r="R6" s="18" t="n">
        <v>0</v>
      </c>
    </row>
    <row r="7">
      <c r="A7" s="14" t="n">
        <v>2030</v>
      </c>
      <c r="B7" s="15" t="n"/>
      <c r="C7" s="16" t="n">
        <v>0.02</v>
      </c>
      <c r="D7" s="16">
        <f>(1+B7)*(1+C7)</f>
        <v/>
      </c>
      <c r="E7" s="17">
        <f>SUM(F7:Q7)</f>
        <v/>
      </c>
      <c r="F7" s="18" t="n"/>
      <c r="G7" s="18" t="n"/>
      <c r="H7" s="18" t="n"/>
      <c r="I7" s="18" t="n"/>
      <c r="J7" s="18" t="n"/>
      <c r="K7" s="18" t="n"/>
      <c r="L7" s="18" t="n"/>
      <c r="M7" s="18" t="n"/>
      <c r="N7" s="18" t="n"/>
      <c r="O7" s="18" t="n"/>
      <c r="P7" s="18" t="n"/>
      <c r="Q7" s="18" t="n"/>
      <c r="R7" s="18" t="n">
        <v>0</v>
      </c>
    </row>
    <row r="8">
      <c r="A8" s="14" t="n">
        <v>2031</v>
      </c>
      <c r="B8" s="15" t="n"/>
      <c r="C8" s="16" t="n">
        <v>0.02</v>
      </c>
      <c r="D8" s="16">
        <f>(1+B8)*(1+C8)</f>
        <v/>
      </c>
      <c r="E8" s="17">
        <f>SUM(F8:Q8)</f>
        <v/>
      </c>
      <c r="F8" s="18" t="n"/>
      <c r="G8" s="18" t="n"/>
      <c r="H8" s="18" t="n"/>
      <c r="I8" s="18" t="n"/>
      <c r="J8" s="18" t="n"/>
      <c r="K8" s="18" t="n"/>
      <c r="L8" s="18" t="n"/>
      <c r="M8" s="18" t="n"/>
      <c r="N8" s="18" t="n"/>
      <c r="O8" s="18" t="n"/>
      <c r="P8" s="18" t="n"/>
      <c r="Q8" s="18" t="n"/>
      <c r="R8" s="18" t="n">
        <v>0</v>
      </c>
    </row>
    <row r="9">
      <c r="A9" s="14" t="n">
        <v>2032</v>
      </c>
      <c r="B9" s="15" t="n"/>
      <c r="C9" s="16" t="n">
        <v>0.02</v>
      </c>
      <c r="D9" s="16">
        <f>(1+B9)*(1+C9)</f>
        <v/>
      </c>
      <c r="E9" s="17">
        <f>SUM(F9:Q9)</f>
        <v/>
      </c>
      <c r="F9" s="18" t="n"/>
      <c r="G9" s="18" t="n"/>
      <c r="H9" s="18" t="n"/>
      <c r="I9" s="18" t="n"/>
      <c r="J9" s="18" t="n"/>
      <c r="K9" s="18" t="n"/>
      <c r="L9" s="18" t="n"/>
      <c r="M9" s="18" t="n"/>
      <c r="N9" s="18" t="n"/>
      <c r="O9" s="18" t="n"/>
      <c r="P9" s="18" t="n"/>
      <c r="Q9" s="18" t="n"/>
      <c r="R9" s="18" t="n">
        <v>0</v>
      </c>
    </row>
    <row r="10">
      <c r="A10" s="14" t="n">
        <v>2033</v>
      </c>
      <c r="B10" s="15" t="n"/>
      <c r="C10" s="16" t="n">
        <v>0.02</v>
      </c>
      <c r="D10" s="16">
        <f>(1+B10)*(1+C10)</f>
        <v/>
      </c>
      <c r="E10" s="17">
        <f>SUM(F10:Q10)</f>
        <v/>
      </c>
      <c r="F10" s="18" t="n"/>
      <c r="G10" s="18" t="n"/>
      <c r="H10" s="18" t="n"/>
      <c r="I10" s="18" t="n"/>
      <c r="J10" s="18" t="n"/>
      <c r="K10" s="18" t="n"/>
      <c r="L10" s="18" t="n"/>
      <c r="M10" s="18" t="n"/>
      <c r="N10" s="18" t="n"/>
      <c r="O10" s="18" t="n"/>
      <c r="P10" s="18" t="n"/>
      <c r="Q10" s="18" t="n"/>
      <c r="R10" s="18" t="n">
        <v>0</v>
      </c>
    </row>
    <row r="11">
      <c r="A11" s="14" t="n">
        <v>2034</v>
      </c>
      <c r="B11" s="15" t="n"/>
      <c r="C11" s="16" t="n">
        <v>0.02</v>
      </c>
      <c r="D11" s="16">
        <f>(1+B11)*(1+C11)</f>
        <v/>
      </c>
      <c r="E11" s="17">
        <f>SUM(F11:Q11)</f>
        <v/>
      </c>
      <c r="F11" s="18" t="n"/>
      <c r="G11" s="18" t="n"/>
      <c r="H11" s="18" t="n"/>
      <c r="I11" s="18" t="n"/>
      <c r="J11" s="18" t="n"/>
      <c r="K11" s="18" t="n"/>
      <c r="L11" s="18" t="n"/>
      <c r="M11" s="18" t="n"/>
      <c r="N11" s="18" t="n"/>
      <c r="O11" s="18" t="n"/>
      <c r="P11" s="18" t="n"/>
      <c r="Q11" s="18" t="n"/>
      <c r="R11" s="18" t="n">
        <v>0</v>
      </c>
    </row>
    <row r="12">
      <c r="A12" s="14" t="n">
        <v>2035</v>
      </c>
      <c r="B12" s="15" t="n"/>
      <c r="C12" s="16" t="n">
        <v>0.02</v>
      </c>
      <c r="D12" s="16">
        <f>(1+B12)*(1+C12)</f>
        <v/>
      </c>
      <c r="E12" s="17">
        <f>SUM(F12:Q12)</f>
        <v/>
      </c>
      <c r="F12" s="18" t="n"/>
      <c r="G12" s="18" t="n"/>
      <c r="H12" s="18" t="n"/>
      <c r="I12" s="18" t="n"/>
      <c r="J12" s="18" t="n"/>
      <c r="K12" s="18" t="n"/>
      <c r="L12" s="18" t="n"/>
      <c r="M12" s="18" t="n"/>
      <c r="N12" s="18" t="n"/>
      <c r="O12" s="18" t="n"/>
      <c r="P12" s="18" t="n"/>
      <c r="Q12" s="18" t="n"/>
      <c r="R12" s="18" t="n">
        <v>0</v>
      </c>
    </row>
    <row r="13"/>
    <row r="14">
      <c r="A14" s="19"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 Roth conversions are funded entirely from non-TSP accounts and tracked separately from this plan -- log only the tax cost of each conversion (IRA funds used minus the resulting Roth deposit) in the Roth Conversion Tax Cost column, so The_Refill_Engine can add it back and avoid mistaking a planned tax cost for a market downturn. Actual Balance is logged quarterly instead, directly in the Quarterly Refill Engine table on The_Refill_Engine, alongside everything else you already update there.</t>
        </is>
      </c>
    </row>
    <row r="15">
      <c r="A15" s="19" t="inlineStr">
        <is>
          <t>Legend: pale-yellow cells are yours to type into; white cells hold formulas -- please don't overwrite them.</t>
        </is>
      </c>
    </row>
  </sheetData>
  <mergeCells count="1">
    <mergeCell ref="A1:R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15" customWidth="1" min="3" max="3"/>
    <col width="17" customWidth="1" min="4" max="4"/>
  </cols>
  <sheetData>
    <row r="1" ht="24" customHeight="1">
      <c r="A1" s="11" t="inlineStr">
        <is>
          <t>Asset Pool</t>
        </is>
      </c>
      <c r="B1" s="11" t="inlineStr">
        <is>
          <t>Custodian / Platform</t>
        </is>
      </c>
      <c r="C1" s="11" t="inlineStr">
        <is>
          <t>Live Balance</t>
        </is>
      </c>
      <c r="D1" s="11" t="inlineStr">
        <is>
          <t>Allocation Mix</t>
        </is>
      </c>
    </row>
    <row r="2">
      <c r="A2" s="20" t="inlineStr">
        <is>
          <t>Your Pre-Tax Account</t>
        </is>
      </c>
      <c r="B2" s="20" t="inlineStr">
        <is>
          <t>TSP G Fund</t>
        </is>
      </c>
      <c r="C2" s="18" t="n">
        <v>100000</v>
      </c>
      <c r="D2" s="16">
        <f>C2/$C$9</f>
        <v/>
      </c>
    </row>
    <row r="3">
      <c r="A3" s="20" t="inlineStr">
        <is>
          <t>Your Conversion Conduit</t>
        </is>
      </c>
      <c r="B3" s="20" t="inlineStr">
        <is>
          <t>Private Traditional IRA</t>
        </is>
      </c>
      <c r="C3" s="18" t="n">
        <v>100000</v>
      </c>
      <c r="D3" s="16">
        <f>C3/$C$9</f>
        <v/>
      </c>
    </row>
    <row r="4">
      <c r="A4" s="20" t="inlineStr">
        <is>
          <t>Your Tax-Free Growth</t>
        </is>
      </c>
      <c r="B4" s="20" t="inlineStr">
        <is>
          <t>Private Roth IRA</t>
        </is>
      </c>
      <c r="C4" s="18" t="n">
        <v>100000</v>
      </c>
      <c r="D4" s="16">
        <f>C4/$C$9</f>
        <v/>
      </c>
    </row>
    <row r="5">
      <c r="A5" s="20" t="inlineStr">
        <is>
          <t>Spouse's Tax-Free Growth</t>
        </is>
      </c>
      <c r="B5" s="20" t="inlineStr">
        <is>
          <t>Private Roth IRA</t>
        </is>
      </c>
      <c r="C5" s="18" t="n">
        <v>100000</v>
      </c>
      <c r="D5" s="16">
        <f>C5/$C$9</f>
        <v/>
      </c>
    </row>
    <row r="6">
      <c r="A6" s="20" t="inlineStr">
        <is>
          <t>Spouse's Safe Pre-Tax Account</t>
        </is>
      </c>
      <c r="B6" s="20" t="inlineStr">
        <is>
          <t>Current Employer 403b (Active + Reverse Rollover)</t>
        </is>
      </c>
      <c r="C6" s="18" t="n">
        <v>100000</v>
      </c>
      <c r="D6" s="16">
        <f>C6/$C$9</f>
        <v/>
      </c>
    </row>
    <row r="7">
      <c r="A7" s="20" t="inlineStr">
        <is>
          <t>Spouse's Conversion Conduit</t>
        </is>
      </c>
      <c r="B7" s="20" t="inlineStr">
        <is>
          <t>Private Traditional IRA</t>
        </is>
      </c>
      <c r="C7" s="18" t="n">
        <v>100000</v>
      </c>
      <c r="D7" s="16">
        <f>C7/$C$9</f>
        <v/>
      </c>
    </row>
    <row r="8">
      <c r="A8" s="20" t="inlineStr">
        <is>
          <t>Short-Term Liquidity</t>
        </is>
      </c>
      <c r="B8" s="20" t="inlineStr">
        <is>
          <t>Merrill Edge Cash Buffer</t>
        </is>
      </c>
      <c r="C8" s="18" t="n">
        <v>100000</v>
      </c>
      <c r="D8" s="16">
        <f>C8/$C$9</f>
        <v/>
      </c>
    </row>
    <row r="9">
      <c r="A9" s="21" t="inlineStr">
        <is>
          <t>Total Household Net Worth</t>
        </is>
      </c>
      <c r="B9" s="21" t="n"/>
      <c r="C9" s="22">
        <f>SUM(C2:C8)</f>
        <v/>
      </c>
      <c r="D9" s="23">
        <f>C9/C9</f>
        <v/>
      </c>
    </row>
    <row r="10">
      <c r="A10" s="19" t="inlineStr">
        <is>
          <t>Note: Live Balance figures are a manually-updated snapshot -- refresh them whenever you check statements, ideally at least quarterly, so Tab 3's projections start from an accurate baseline.</t>
        </is>
      </c>
    </row>
    <row r="11">
      <c r="A11" s="19" t="inlineStr">
        <is>
          <t>Legend: pale-yellow cells are yours to type into; white cells hold formulas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6"/>
  <sheetViews>
    <sheetView showGridLines="1" workbookViewId="0">
      <pane ySplit="19" topLeftCell="A20"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 width="22" customWidth="1" min="9" max="9"/>
    <col width="22" customWidth="1" min="10" max="10"/>
    <col width="24" customWidth="1" min="11" max="11"/>
    <col width="24" customWidth="1" min="12" max="12"/>
  </cols>
  <sheetData>
    <row r="1">
      <c r="A1" s="21" t="inlineStr">
        <is>
          <t>Total Current Actual Wealth (Live Account_Tracker Snapshot)</t>
        </is>
      </c>
      <c r="B1" s="22">
        <f>'Account_Tracker'!$C$9</f>
        <v/>
      </c>
    </row>
    <row r="2">
      <c r="A2" s="21" t="inlineStr">
        <is>
          <t>Cumulative Roth Conversion Tax Cost (Logged To Date)</t>
        </is>
      </c>
      <c r="B2" s="22">
        <f>SUM('Variables_And_Log'!R3:R12)</f>
        <v/>
      </c>
    </row>
    <row r="3">
      <c r="A3" s="21" t="inlineStr">
        <is>
          <t>Adjusted Actual Wealth (Used for GOOD/POOR Trigger &amp; Safety Anchor)</t>
        </is>
      </c>
      <c r="B3" s="22">
        <f>B1+B2</f>
        <v/>
      </c>
    </row>
    <row r="4">
      <c r="A4" s="19" t="inlineStr">
        <is>
          <t>Roth conversions are funded from non-TSP accounts and planned separately from this strategy. The converted principal is a net-zero move between accounts Account_Tracker already reflects; only the tax cost is a real, permanent reduction in household wealth, not a market downturn. That cost is used two different ways below, deliberately: the GOOD/POOR trigger adds it back (so a planned tax bill can't be mistaken for a bad market), but the Safety Anchor's dollar sizing does NOT add it back -- the G Fund can only ever hold real dollars, so its target is sized off real wealth, never off a phantom tax refund.</t>
        </is>
      </c>
    </row>
    <row r="5"/>
    <row r="6" ht="20" customHeight="1">
      <c r="A6" s="2" t="inlineStr">
        <is>
          <t>CONFIGURED INPUTS — DEFAULT / OVERRIDE / EFFECTIVE</t>
        </is>
      </c>
      <c r="B6" s="2" t="n"/>
      <c r="C6" s="2" t="n"/>
      <c r="D6" s="2" t="n"/>
    </row>
    <row r="7" ht="28" customHeight="1">
      <c r="A7" s="11" t="inlineStr">
        <is>
          <t>Input</t>
        </is>
      </c>
      <c r="B7" s="11" t="inlineStr">
        <is>
          <t>Default</t>
        </is>
      </c>
      <c r="C7" s="11" t="inlineStr">
        <is>
          <t>Override (blank = use Default)</t>
        </is>
      </c>
      <c r="D7" s="11" t="inlineStr">
        <is>
          <t>Effective (used below)</t>
        </is>
      </c>
    </row>
    <row r="8">
      <c r="A8" s="24" t="inlineStr">
        <is>
          <t>Retirement Start Year</t>
        </is>
      </c>
      <c r="B8" s="14" t="n">
        <v>2026</v>
      </c>
      <c r="C8" s="25" t="n"/>
      <c r="D8" s="26">
        <f>IF(C8="",B8,C8)</f>
        <v/>
      </c>
    </row>
    <row r="9">
      <c r="A9" s="24" t="inlineStr">
        <is>
          <t>Age at Retirement Start</t>
        </is>
      </c>
      <c r="B9" s="14" t="n">
        <v>63</v>
      </c>
      <c r="C9" s="25" t="n"/>
      <c r="D9" s="26">
        <f>IF(C9="",B9,C9)</f>
        <v/>
      </c>
    </row>
    <row r="10">
      <c r="A10" s="24" t="inlineStr">
        <is>
          <t>Ramp Length (Years)</t>
        </is>
      </c>
      <c r="B10" s="14" t="n">
        <v>10</v>
      </c>
      <c r="C10" s="25" t="n"/>
      <c r="D10" s="26">
        <f>IF(C10="",B10,C10)</f>
        <v/>
      </c>
    </row>
    <row r="11">
      <c r="A11" s="24" t="inlineStr">
        <is>
          <t>Starting G Fund Target % (elevated, early retirement)</t>
        </is>
      </c>
      <c r="B11" s="16" t="n">
        <v>0.3</v>
      </c>
      <c r="C11" s="15" t="n"/>
      <c r="D11" s="23">
        <f>IF(C11="",B11,C11)</f>
        <v/>
      </c>
    </row>
    <row r="12">
      <c r="A12" s="24" t="inlineStr">
        <is>
          <t>Ending G Fund Target % (steady state)</t>
        </is>
      </c>
      <c r="B12" s="16" t="n">
        <v>0.2</v>
      </c>
      <c r="C12" s="15" t="n"/>
      <c r="D12" s="23">
        <f>IF(C12="",B12,C12)</f>
        <v/>
      </c>
    </row>
    <row r="13"/>
    <row r="14">
      <c r="A14" s="21" t="inlineStr">
        <is>
          <t>Current G Fund Target % (Today)</t>
        </is>
      </c>
      <c r="B14" s="23">
        <f>IF(YEAR(TODAY())-$D$8&gt;=$D$10,$D$12,$D$11+($D$12-$D$11)*(YEAR(TODAY())-$D$8)/$D$10)</f>
        <v/>
      </c>
    </row>
    <row r="15">
      <c r="A15" s="21" t="inlineStr">
        <is>
          <t>Target Safety Anchor Balance (Today)</t>
        </is>
      </c>
      <c r="B15" s="22">
        <f>B1*B14</f>
        <v/>
      </c>
    </row>
    <row r="16">
      <c r="A16" s="19" t="inlineStr">
        <is>
          <t>Sequence-of-Returns-Risk (SRR) Shield: the G Fund target ramps down linearly from the Starting % to the Ending % over the Ramp Length, then holds flat -- SRR is concentrated in the first years of retirement, so the shield is largest when it matters most and eases as that window passes. Each year's actual target is computed per-year in the Annual SRR Hurdle Model below and drives the Quarterly Refill Engine's 'Target Safety Anchor Balance (This Year)' column, scaled against that year's Current Predicted Wealth (P_track), not a value frozen at Year 1. The row above is only a live snapshot of today's applicable target for quick reference.</t>
        </is>
      </c>
    </row>
    <row r="17"/>
    <row r="18" ht="20" customHeight="1">
      <c r="A18" s="2" t="inlineStr">
        <is>
          <t>THE QUARTERLY REFILL ENGINE — PRIMARY OUTPUT: RECOMMENDED TSP TOP-UP TRANSFER</t>
        </is>
      </c>
      <c r="B18" s="2" t="n"/>
      <c r="C18" s="2" t="n"/>
      <c r="D18" s="2" t="n"/>
      <c r="E18" s="2" t="n"/>
      <c r="F18" s="2" t="n"/>
      <c r="G18" s="2" t="n"/>
      <c r="H18" s="2" t="n"/>
      <c r="I18" s="2" t="n"/>
      <c r="J18" s="2" t="n"/>
      <c r="K18" s="2" t="n"/>
      <c r="L18" s="2" t="n"/>
    </row>
    <row r="19" ht="40" customHeight="1">
      <c r="A19" s="11" t="inlineStr">
        <is>
          <t>Year</t>
        </is>
      </c>
      <c r="B19" s="11" t="inlineStr">
        <is>
          <t>Quarter</t>
        </is>
      </c>
      <c r="C19" s="11" t="inlineStr">
        <is>
          <t>Quarterly Outflow (W_q)</t>
        </is>
      </c>
      <c r="D19" s="11" t="inlineStr">
        <is>
          <t>Annual Performance Signal</t>
        </is>
      </c>
      <c r="E19" s="11" t="inlineStr">
        <is>
          <t>G Fund Balance (Start of Qtr)</t>
        </is>
      </c>
      <c r="F19" s="11" t="inlineStr">
        <is>
          <t>Recommended Transfer This Quarter</t>
        </is>
      </c>
      <c r="G19" s="11" t="inlineStr">
        <is>
          <t>Actual Transferred (Log It Here)</t>
        </is>
      </c>
      <c r="H19" s="11" t="inlineStr">
        <is>
          <t>G Fund Balance (End of Qtr, Projected)</t>
        </is>
      </c>
      <c r="I19" s="11" t="inlineStr">
        <is>
          <t>Target Safety Anchor Balance (This Year)</t>
        </is>
      </c>
      <c r="J19" s="11" t="inlineStr">
        <is>
          <t>Actual Balance (Logged, This Quarter)</t>
        </is>
      </c>
      <c r="K19" s="11" t="inlineStr">
        <is>
          <t>Current Predicted Wealth (Interpolated)</t>
        </is>
      </c>
      <c r="L19" s="11" t="inlineStr">
        <is>
          <t>Original Predicted Wealth (Interpolated)</t>
        </is>
      </c>
    </row>
    <row r="20" ht="28" customHeight="1">
      <c r="A20" s="27" t="n">
        <v>2026</v>
      </c>
      <c r="B20" s="28" t="inlineStr">
        <is>
          <t>Q1</t>
        </is>
      </c>
      <c r="C20" s="29">
        <f>SUM('Variables_And_Log'!F3:H3)</f>
        <v/>
      </c>
      <c r="D20" s="30">
        <f>G64</f>
        <v/>
      </c>
      <c r="E20" s="29">
        <f>'Account_Tracker'!$C$2</f>
        <v/>
      </c>
      <c r="F20" s="31">
        <f>IF(ISNUMBER(SEARCH("GOOD",D20)),MAX(0,I20-E20),0)</f>
        <v/>
      </c>
      <c r="G20" s="32" t="n"/>
      <c r="H20" s="29">
        <f>MAX(0,E20-C20+IF(G20="",F20,G20))</f>
        <v/>
      </c>
      <c r="I20" s="29">
        <f>H64*D64</f>
        <v/>
      </c>
      <c r="J20" s="32" t="n"/>
      <c r="K20" s="29">
        <f>ROUND($B$1+(D64-$B$1)*(1/4),2)</f>
        <v/>
      </c>
      <c r="L20" s="29">
        <f>ROUND($B$1+(E64-$B$1)*(1/4),2)</f>
        <v/>
      </c>
    </row>
    <row r="21" ht="28" customHeight="1">
      <c r="A21" s="14" t="n">
        <v>2026</v>
      </c>
      <c r="B21" s="20" t="inlineStr">
        <is>
          <t>Q2</t>
        </is>
      </c>
      <c r="C21" s="17">
        <f>SUM('Variables_And_Log'!I3:K3)</f>
        <v/>
      </c>
      <c r="D21" s="33">
        <f>G64</f>
        <v/>
      </c>
      <c r="E21" s="17">
        <f>H20</f>
        <v/>
      </c>
      <c r="F21" s="22">
        <f>IF(ISNUMBER(SEARCH("GOOD",D21)),MAX(0,I21-E21),0)</f>
        <v/>
      </c>
      <c r="G21" s="18" t="n"/>
      <c r="H21" s="17">
        <f>MAX(0,E21-C21+IF(G21="",F21,G21))</f>
        <v/>
      </c>
      <c r="I21" s="17">
        <f>H64*D64</f>
        <v/>
      </c>
      <c r="J21" s="18" t="n"/>
      <c r="K21" s="17">
        <f>ROUND($B$1+(D64-$B$1)*(2/4),2)</f>
        <v/>
      </c>
      <c r="L21" s="17">
        <f>ROUND($B$1+(E64-$B$1)*(2/4),2)</f>
        <v/>
      </c>
    </row>
    <row r="22" ht="28" customHeight="1">
      <c r="A22" s="14" t="n">
        <v>2026</v>
      </c>
      <c r="B22" s="20" t="inlineStr">
        <is>
          <t>Q3</t>
        </is>
      </c>
      <c r="C22" s="17">
        <f>SUM('Variables_And_Log'!L3:N3)</f>
        <v/>
      </c>
      <c r="D22" s="33">
        <f>G64</f>
        <v/>
      </c>
      <c r="E22" s="17">
        <f>H21</f>
        <v/>
      </c>
      <c r="F22" s="22">
        <f>IF(ISNUMBER(SEARCH("GOOD",D22)),MAX(0,I22-E22),0)</f>
        <v/>
      </c>
      <c r="G22" s="18" t="n"/>
      <c r="H22" s="17">
        <f>MAX(0,E22-C22+IF(G22="",F22,G22))</f>
        <v/>
      </c>
      <c r="I22" s="17">
        <f>H64*D64</f>
        <v/>
      </c>
      <c r="J22" s="18" t="n"/>
      <c r="K22" s="17">
        <f>ROUND($B$1+(D64-$B$1)*(3/4),2)</f>
        <v/>
      </c>
      <c r="L22" s="17">
        <f>ROUND($B$1+(E64-$B$1)*(3/4),2)</f>
        <v/>
      </c>
    </row>
    <row r="23" ht="28" customHeight="1">
      <c r="A23" s="14" t="n">
        <v>2026</v>
      </c>
      <c r="B23" s="20" t="inlineStr">
        <is>
          <t>Q4</t>
        </is>
      </c>
      <c r="C23" s="17">
        <f>SUM('Variables_And_Log'!O3:Q3)</f>
        <v/>
      </c>
      <c r="D23" s="33">
        <f>G64</f>
        <v/>
      </c>
      <c r="E23" s="17">
        <f>H22</f>
        <v/>
      </c>
      <c r="F23" s="22">
        <f>IF(ISNUMBER(SEARCH("GOOD",D23)),MAX(0,I23-E23),0)</f>
        <v/>
      </c>
      <c r="G23" s="18" t="n"/>
      <c r="H23" s="17">
        <f>MAX(0,E23-C23+IF(G23="",F23,G23))</f>
        <v/>
      </c>
      <c r="I23" s="17">
        <f>H64*D64</f>
        <v/>
      </c>
      <c r="J23" s="18" t="n"/>
      <c r="K23" s="17">
        <f>ROUND($B$1+(D64-$B$1)*(4/4),2)</f>
        <v/>
      </c>
      <c r="L23" s="17">
        <f>ROUND($B$1+(E64-$B$1)*(4/4),2)</f>
        <v/>
      </c>
    </row>
    <row r="24" ht="28" customHeight="1">
      <c r="A24" s="27" t="n">
        <v>2027</v>
      </c>
      <c r="B24" s="28" t="inlineStr">
        <is>
          <t>Q1</t>
        </is>
      </c>
      <c r="C24" s="29">
        <f>SUM('Variables_And_Log'!F4:H4)</f>
        <v/>
      </c>
      <c r="D24" s="30">
        <f>G65</f>
        <v/>
      </c>
      <c r="E24" s="29">
        <f>H23</f>
        <v/>
      </c>
      <c r="F24" s="31">
        <f>IF(ISNUMBER(SEARCH("GOOD",D24)),MAX(0,I24-E24),0)</f>
        <v/>
      </c>
      <c r="G24" s="32" t="n"/>
      <c r="H24" s="29">
        <f>MAX(0,E24-C24+IF(G24="",F24,G24))</f>
        <v/>
      </c>
      <c r="I24" s="29">
        <f>H65*D65</f>
        <v/>
      </c>
      <c r="J24" s="32" t="n"/>
      <c r="K24" s="29">
        <f>ROUND(D64+(D65-D64)*(1/4),2)</f>
        <v/>
      </c>
      <c r="L24" s="29">
        <f>ROUND(E64+(E65-E64)*(1/4),2)</f>
        <v/>
      </c>
    </row>
    <row r="25" ht="28" customHeight="1">
      <c r="A25" s="14" t="n">
        <v>2027</v>
      </c>
      <c r="B25" s="20" t="inlineStr">
        <is>
          <t>Q2</t>
        </is>
      </c>
      <c r="C25" s="17">
        <f>SUM('Variables_And_Log'!I4:K4)</f>
        <v/>
      </c>
      <c r="D25" s="33">
        <f>G65</f>
        <v/>
      </c>
      <c r="E25" s="17">
        <f>H24</f>
        <v/>
      </c>
      <c r="F25" s="22">
        <f>IF(ISNUMBER(SEARCH("GOOD",D25)),MAX(0,I25-E25),0)</f>
        <v/>
      </c>
      <c r="G25" s="18" t="n"/>
      <c r="H25" s="17">
        <f>MAX(0,E25-C25+IF(G25="",F25,G25))</f>
        <v/>
      </c>
      <c r="I25" s="17">
        <f>H65*D65</f>
        <v/>
      </c>
      <c r="J25" s="18" t="n"/>
      <c r="K25" s="17">
        <f>ROUND(D64+(D65-D64)*(2/4),2)</f>
        <v/>
      </c>
      <c r="L25" s="17">
        <f>ROUND(E64+(E65-E64)*(2/4),2)</f>
        <v/>
      </c>
    </row>
    <row r="26" ht="28" customHeight="1">
      <c r="A26" s="14" t="n">
        <v>2027</v>
      </c>
      <c r="B26" s="20" t="inlineStr">
        <is>
          <t>Q3</t>
        </is>
      </c>
      <c r="C26" s="17">
        <f>SUM('Variables_And_Log'!L4:N4)</f>
        <v/>
      </c>
      <c r="D26" s="33">
        <f>G65</f>
        <v/>
      </c>
      <c r="E26" s="17">
        <f>H25</f>
        <v/>
      </c>
      <c r="F26" s="22">
        <f>IF(ISNUMBER(SEARCH("GOOD",D26)),MAX(0,I26-E26),0)</f>
        <v/>
      </c>
      <c r="G26" s="18" t="n"/>
      <c r="H26" s="17">
        <f>MAX(0,E26-C26+IF(G26="",F26,G26))</f>
        <v/>
      </c>
      <c r="I26" s="17">
        <f>H65*D65</f>
        <v/>
      </c>
      <c r="J26" s="18" t="n"/>
      <c r="K26" s="17">
        <f>ROUND(D64+(D65-D64)*(3/4),2)</f>
        <v/>
      </c>
      <c r="L26" s="17">
        <f>ROUND(E64+(E65-E64)*(3/4),2)</f>
        <v/>
      </c>
    </row>
    <row r="27" ht="28" customHeight="1">
      <c r="A27" s="14" t="n">
        <v>2027</v>
      </c>
      <c r="B27" s="20" t="inlineStr">
        <is>
          <t>Q4</t>
        </is>
      </c>
      <c r="C27" s="17">
        <f>SUM('Variables_And_Log'!O4:Q4)</f>
        <v/>
      </c>
      <c r="D27" s="33">
        <f>G65</f>
        <v/>
      </c>
      <c r="E27" s="17">
        <f>H26</f>
        <v/>
      </c>
      <c r="F27" s="22">
        <f>IF(ISNUMBER(SEARCH("GOOD",D27)),MAX(0,I27-E27),0)</f>
        <v/>
      </c>
      <c r="G27" s="18" t="n"/>
      <c r="H27" s="17">
        <f>MAX(0,E27-C27+IF(G27="",F27,G27))</f>
        <v/>
      </c>
      <c r="I27" s="17">
        <f>H65*D65</f>
        <v/>
      </c>
      <c r="J27" s="18" t="n"/>
      <c r="K27" s="17">
        <f>ROUND(D64+(D65-D64)*(4/4),2)</f>
        <v/>
      </c>
      <c r="L27" s="17">
        <f>ROUND(E64+(E65-E64)*(4/4),2)</f>
        <v/>
      </c>
    </row>
    <row r="28" ht="28" customHeight="1">
      <c r="A28" s="27" t="n">
        <v>2028</v>
      </c>
      <c r="B28" s="28" t="inlineStr">
        <is>
          <t>Q1</t>
        </is>
      </c>
      <c r="C28" s="29">
        <f>SUM('Variables_And_Log'!F5:H5)</f>
        <v/>
      </c>
      <c r="D28" s="30">
        <f>G66</f>
        <v/>
      </c>
      <c r="E28" s="29">
        <f>H27</f>
        <v/>
      </c>
      <c r="F28" s="31">
        <f>IF(ISNUMBER(SEARCH("GOOD",D28)),MAX(0,I28-E28),0)</f>
        <v/>
      </c>
      <c r="G28" s="32" t="n"/>
      <c r="H28" s="29">
        <f>MAX(0,E28-C28+IF(G28="",F28,G28))</f>
        <v/>
      </c>
      <c r="I28" s="29">
        <f>H66*D66</f>
        <v/>
      </c>
      <c r="J28" s="32" t="n"/>
      <c r="K28" s="29">
        <f>ROUND(D65+(D66-D65)*(1/4),2)</f>
        <v/>
      </c>
      <c r="L28" s="29">
        <f>ROUND(E65+(E66-E65)*(1/4),2)</f>
        <v/>
      </c>
    </row>
    <row r="29" ht="28" customHeight="1">
      <c r="A29" s="14" t="n">
        <v>2028</v>
      </c>
      <c r="B29" s="20" t="inlineStr">
        <is>
          <t>Q2</t>
        </is>
      </c>
      <c r="C29" s="17">
        <f>SUM('Variables_And_Log'!I5:K5)</f>
        <v/>
      </c>
      <c r="D29" s="33">
        <f>G66</f>
        <v/>
      </c>
      <c r="E29" s="17">
        <f>H28</f>
        <v/>
      </c>
      <c r="F29" s="22">
        <f>IF(ISNUMBER(SEARCH("GOOD",D29)),MAX(0,I29-E29),0)</f>
        <v/>
      </c>
      <c r="G29" s="18" t="n"/>
      <c r="H29" s="17">
        <f>MAX(0,E29-C29+IF(G29="",F29,G29))</f>
        <v/>
      </c>
      <c r="I29" s="17">
        <f>H66*D66</f>
        <v/>
      </c>
      <c r="J29" s="18" t="n"/>
      <c r="K29" s="17">
        <f>ROUND(D65+(D66-D65)*(2/4),2)</f>
        <v/>
      </c>
      <c r="L29" s="17">
        <f>ROUND(E65+(E66-E65)*(2/4),2)</f>
        <v/>
      </c>
    </row>
    <row r="30" ht="28" customHeight="1">
      <c r="A30" s="14" t="n">
        <v>2028</v>
      </c>
      <c r="B30" s="20" t="inlineStr">
        <is>
          <t>Q3</t>
        </is>
      </c>
      <c r="C30" s="17">
        <f>SUM('Variables_And_Log'!L5:N5)</f>
        <v/>
      </c>
      <c r="D30" s="33">
        <f>G66</f>
        <v/>
      </c>
      <c r="E30" s="17">
        <f>H29</f>
        <v/>
      </c>
      <c r="F30" s="22">
        <f>IF(ISNUMBER(SEARCH("GOOD",D30)),MAX(0,I30-E30),0)</f>
        <v/>
      </c>
      <c r="G30" s="18" t="n"/>
      <c r="H30" s="17">
        <f>MAX(0,E30-C30+IF(G30="",F30,G30))</f>
        <v/>
      </c>
      <c r="I30" s="17">
        <f>H66*D66</f>
        <v/>
      </c>
      <c r="J30" s="18" t="n"/>
      <c r="K30" s="17">
        <f>ROUND(D65+(D66-D65)*(3/4),2)</f>
        <v/>
      </c>
      <c r="L30" s="17">
        <f>ROUND(E65+(E66-E65)*(3/4),2)</f>
        <v/>
      </c>
    </row>
    <row r="31" ht="28" customHeight="1">
      <c r="A31" s="14" t="n">
        <v>2028</v>
      </c>
      <c r="B31" s="20" t="inlineStr">
        <is>
          <t>Q4</t>
        </is>
      </c>
      <c r="C31" s="17">
        <f>SUM('Variables_And_Log'!O5:Q5)</f>
        <v/>
      </c>
      <c r="D31" s="33">
        <f>G66</f>
        <v/>
      </c>
      <c r="E31" s="17">
        <f>H30</f>
        <v/>
      </c>
      <c r="F31" s="22">
        <f>IF(ISNUMBER(SEARCH("GOOD",D31)),MAX(0,I31-E31),0)</f>
        <v/>
      </c>
      <c r="G31" s="18" t="n"/>
      <c r="H31" s="17">
        <f>MAX(0,E31-C31+IF(G31="",F31,G31))</f>
        <v/>
      </c>
      <c r="I31" s="17">
        <f>H66*D66</f>
        <v/>
      </c>
      <c r="J31" s="18" t="n"/>
      <c r="K31" s="17">
        <f>ROUND(D65+(D66-D65)*(4/4),2)</f>
        <v/>
      </c>
      <c r="L31" s="17">
        <f>ROUND(E65+(E66-E65)*(4/4),2)</f>
        <v/>
      </c>
    </row>
    <row r="32" ht="28" customHeight="1">
      <c r="A32" s="27" t="n">
        <v>2029</v>
      </c>
      <c r="B32" s="28" t="inlineStr">
        <is>
          <t>Q1</t>
        </is>
      </c>
      <c r="C32" s="29">
        <f>SUM('Variables_And_Log'!F6:H6)</f>
        <v/>
      </c>
      <c r="D32" s="30">
        <f>G67</f>
        <v/>
      </c>
      <c r="E32" s="29">
        <f>H31</f>
        <v/>
      </c>
      <c r="F32" s="31">
        <f>IF(ISNUMBER(SEARCH("GOOD",D32)),MAX(0,I32-E32),0)</f>
        <v/>
      </c>
      <c r="G32" s="32" t="n"/>
      <c r="H32" s="29">
        <f>MAX(0,E32-C32+IF(G32="",F32,G32))</f>
        <v/>
      </c>
      <c r="I32" s="29">
        <f>H67*D67</f>
        <v/>
      </c>
      <c r="J32" s="32" t="n"/>
      <c r="K32" s="29">
        <f>ROUND(D66+(D67-D66)*(1/4),2)</f>
        <v/>
      </c>
      <c r="L32" s="29">
        <f>ROUND(E66+(E67-E66)*(1/4),2)</f>
        <v/>
      </c>
    </row>
    <row r="33" ht="28" customHeight="1">
      <c r="A33" s="14" t="n">
        <v>2029</v>
      </c>
      <c r="B33" s="20" t="inlineStr">
        <is>
          <t>Q2</t>
        </is>
      </c>
      <c r="C33" s="17">
        <f>SUM('Variables_And_Log'!I6:K6)</f>
        <v/>
      </c>
      <c r="D33" s="33">
        <f>G67</f>
        <v/>
      </c>
      <c r="E33" s="17">
        <f>H32</f>
        <v/>
      </c>
      <c r="F33" s="22">
        <f>IF(ISNUMBER(SEARCH("GOOD",D33)),MAX(0,I33-E33),0)</f>
        <v/>
      </c>
      <c r="G33" s="18" t="n"/>
      <c r="H33" s="17">
        <f>MAX(0,E33-C33+IF(G33="",F33,G33))</f>
        <v/>
      </c>
      <c r="I33" s="17">
        <f>H67*D67</f>
        <v/>
      </c>
      <c r="J33" s="18" t="n"/>
      <c r="K33" s="17">
        <f>ROUND(D66+(D67-D66)*(2/4),2)</f>
        <v/>
      </c>
      <c r="L33" s="17">
        <f>ROUND(E66+(E67-E66)*(2/4),2)</f>
        <v/>
      </c>
    </row>
    <row r="34" ht="28" customHeight="1">
      <c r="A34" s="14" t="n">
        <v>2029</v>
      </c>
      <c r="B34" s="20" t="inlineStr">
        <is>
          <t>Q3</t>
        </is>
      </c>
      <c r="C34" s="17">
        <f>SUM('Variables_And_Log'!L6:N6)</f>
        <v/>
      </c>
      <c r="D34" s="33">
        <f>G67</f>
        <v/>
      </c>
      <c r="E34" s="17">
        <f>H33</f>
        <v/>
      </c>
      <c r="F34" s="22">
        <f>IF(ISNUMBER(SEARCH("GOOD",D34)),MAX(0,I34-E34),0)</f>
        <v/>
      </c>
      <c r="G34" s="18" t="n"/>
      <c r="H34" s="17">
        <f>MAX(0,E34-C34+IF(G34="",F34,G34))</f>
        <v/>
      </c>
      <c r="I34" s="17">
        <f>H67*D67</f>
        <v/>
      </c>
      <c r="J34" s="18" t="n"/>
      <c r="K34" s="17">
        <f>ROUND(D66+(D67-D66)*(3/4),2)</f>
        <v/>
      </c>
      <c r="L34" s="17">
        <f>ROUND(E66+(E67-E66)*(3/4),2)</f>
        <v/>
      </c>
    </row>
    <row r="35" ht="28" customHeight="1">
      <c r="A35" s="14" t="n">
        <v>2029</v>
      </c>
      <c r="B35" s="20" t="inlineStr">
        <is>
          <t>Q4</t>
        </is>
      </c>
      <c r="C35" s="17">
        <f>SUM('Variables_And_Log'!O6:Q6)</f>
        <v/>
      </c>
      <c r="D35" s="33">
        <f>G67</f>
        <v/>
      </c>
      <c r="E35" s="17">
        <f>H34</f>
        <v/>
      </c>
      <c r="F35" s="22">
        <f>IF(ISNUMBER(SEARCH("GOOD",D35)),MAX(0,I35-E35),0)</f>
        <v/>
      </c>
      <c r="G35" s="18" t="n"/>
      <c r="H35" s="17">
        <f>MAX(0,E35-C35+IF(G35="",F35,G35))</f>
        <v/>
      </c>
      <c r="I35" s="17">
        <f>H67*D67</f>
        <v/>
      </c>
      <c r="J35" s="18" t="n"/>
      <c r="K35" s="17">
        <f>ROUND(D66+(D67-D66)*(4/4),2)</f>
        <v/>
      </c>
      <c r="L35" s="17">
        <f>ROUND(E66+(E67-E66)*(4/4),2)</f>
        <v/>
      </c>
    </row>
    <row r="36" ht="28" customHeight="1">
      <c r="A36" s="27" t="n">
        <v>2030</v>
      </c>
      <c r="B36" s="28" t="inlineStr">
        <is>
          <t>Q1</t>
        </is>
      </c>
      <c r="C36" s="29">
        <f>SUM('Variables_And_Log'!F7:H7)</f>
        <v/>
      </c>
      <c r="D36" s="30">
        <f>G68</f>
        <v/>
      </c>
      <c r="E36" s="29">
        <f>H35</f>
        <v/>
      </c>
      <c r="F36" s="31">
        <f>IF(ISNUMBER(SEARCH("GOOD",D36)),MAX(0,I36-E36),0)</f>
        <v/>
      </c>
      <c r="G36" s="32" t="n"/>
      <c r="H36" s="29">
        <f>MAX(0,E36-C36+IF(G36="",F36,G36))</f>
        <v/>
      </c>
      <c r="I36" s="29">
        <f>H68*D68</f>
        <v/>
      </c>
      <c r="J36" s="32" t="n"/>
      <c r="K36" s="29">
        <f>ROUND(D67+(D68-D67)*(1/4),2)</f>
        <v/>
      </c>
      <c r="L36" s="29">
        <f>ROUND(E67+(E68-E67)*(1/4),2)</f>
        <v/>
      </c>
    </row>
    <row r="37" ht="28" customHeight="1">
      <c r="A37" s="14" t="n">
        <v>2030</v>
      </c>
      <c r="B37" s="20" t="inlineStr">
        <is>
          <t>Q2</t>
        </is>
      </c>
      <c r="C37" s="17">
        <f>SUM('Variables_And_Log'!I7:K7)</f>
        <v/>
      </c>
      <c r="D37" s="33">
        <f>G68</f>
        <v/>
      </c>
      <c r="E37" s="17">
        <f>H36</f>
        <v/>
      </c>
      <c r="F37" s="22">
        <f>IF(ISNUMBER(SEARCH("GOOD",D37)),MAX(0,I37-E37),0)</f>
        <v/>
      </c>
      <c r="G37" s="18" t="n"/>
      <c r="H37" s="17">
        <f>MAX(0,E37-C37+IF(G37="",F37,G37))</f>
        <v/>
      </c>
      <c r="I37" s="17">
        <f>H68*D68</f>
        <v/>
      </c>
      <c r="J37" s="18" t="n"/>
      <c r="K37" s="17">
        <f>ROUND(D67+(D68-D67)*(2/4),2)</f>
        <v/>
      </c>
      <c r="L37" s="17">
        <f>ROUND(E67+(E68-E67)*(2/4),2)</f>
        <v/>
      </c>
    </row>
    <row r="38" ht="28" customHeight="1">
      <c r="A38" s="14" t="n">
        <v>2030</v>
      </c>
      <c r="B38" s="20" t="inlineStr">
        <is>
          <t>Q3</t>
        </is>
      </c>
      <c r="C38" s="17">
        <f>SUM('Variables_And_Log'!L7:N7)</f>
        <v/>
      </c>
      <c r="D38" s="33">
        <f>G68</f>
        <v/>
      </c>
      <c r="E38" s="17">
        <f>H37</f>
        <v/>
      </c>
      <c r="F38" s="22">
        <f>IF(ISNUMBER(SEARCH("GOOD",D38)),MAX(0,I38-E38),0)</f>
        <v/>
      </c>
      <c r="G38" s="18" t="n"/>
      <c r="H38" s="17">
        <f>MAX(0,E38-C38+IF(G38="",F38,G38))</f>
        <v/>
      </c>
      <c r="I38" s="17">
        <f>H68*D68</f>
        <v/>
      </c>
      <c r="J38" s="18" t="n"/>
      <c r="K38" s="17">
        <f>ROUND(D67+(D68-D67)*(3/4),2)</f>
        <v/>
      </c>
      <c r="L38" s="17">
        <f>ROUND(E67+(E68-E67)*(3/4),2)</f>
        <v/>
      </c>
    </row>
    <row r="39" ht="28" customHeight="1">
      <c r="A39" s="14" t="n">
        <v>2030</v>
      </c>
      <c r="B39" s="20" t="inlineStr">
        <is>
          <t>Q4</t>
        </is>
      </c>
      <c r="C39" s="17">
        <f>SUM('Variables_And_Log'!O7:Q7)</f>
        <v/>
      </c>
      <c r="D39" s="33">
        <f>G68</f>
        <v/>
      </c>
      <c r="E39" s="17">
        <f>H38</f>
        <v/>
      </c>
      <c r="F39" s="22">
        <f>IF(ISNUMBER(SEARCH("GOOD",D39)),MAX(0,I39-E39),0)</f>
        <v/>
      </c>
      <c r="G39" s="18" t="n"/>
      <c r="H39" s="17">
        <f>MAX(0,E39-C39+IF(G39="",F39,G39))</f>
        <v/>
      </c>
      <c r="I39" s="17">
        <f>H68*D68</f>
        <v/>
      </c>
      <c r="J39" s="18" t="n"/>
      <c r="K39" s="17">
        <f>ROUND(D67+(D68-D67)*(4/4),2)</f>
        <v/>
      </c>
      <c r="L39" s="17">
        <f>ROUND(E67+(E68-E67)*(4/4),2)</f>
        <v/>
      </c>
    </row>
    <row r="40" ht="28" customHeight="1">
      <c r="A40" s="27" t="n">
        <v>2031</v>
      </c>
      <c r="B40" s="28" t="inlineStr">
        <is>
          <t>Q1</t>
        </is>
      </c>
      <c r="C40" s="29">
        <f>SUM('Variables_And_Log'!F8:H8)</f>
        <v/>
      </c>
      <c r="D40" s="30">
        <f>G69</f>
        <v/>
      </c>
      <c r="E40" s="29">
        <f>H39</f>
        <v/>
      </c>
      <c r="F40" s="31">
        <f>IF(ISNUMBER(SEARCH("GOOD",D40)),MAX(0,I40-E40),0)</f>
        <v/>
      </c>
      <c r="G40" s="32" t="n"/>
      <c r="H40" s="29">
        <f>MAX(0,E40-C40+IF(G40="",F40,G40))</f>
        <v/>
      </c>
      <c r="I40" s="29">
        <f>H69*D69</f>
        <v/>
      </c>
      <c r="J40" s="32" t="n"/>
      <c r="K40" s="29">
        <f>ROUND(D68+(D69-D68)*(1/4),2)</f>
        <v/>
      </c>
      <c r="L40" s="29">
        <f>ROUND(E68+(E69-E68)*(1/4),2)</f>
        <v/>
      </c>
    </row>
    <row r="41" ht="28" customHeight="1">
      <c r="A41" s="14" t="n">
        <v>2031</v>
      </c>
      <c r="B41" s="20" t="inlineStr">
        <is>
          <t>Q2</t>
        </is>
      </c>
      <c r="C41" s="17">
        <f>SUM('Variables_And_Log'!I8:K8)</f>
        <v/>
      </c>
      <c r="D41" s="33">
        <f>G69</f>
        <v/>
      </c>
      <c r="E41" s="17">
        <f>H40</f>
        <v/>
      </c>
      <c r="F41" s="22">
        <f>IF(ISNUMBER(SEARCH("GOOD",D41)),MAX(0,I41-E41),0)</f>
        <v/>
      </c>
      <c r="G41" s="18" t="n"/>
      <c r="H41" s="17">
        <f>MAX(0,E41-C41+IF(G41="",F41,G41))</f>
        <v/>
      </c>
      <c r="I41" s="17">
        <f>H69*D69</f>
        <v/>
      </c>
      <c r="J41" s="18" t="n"/>
      <c r="K41" s="17">
        <f>ROUND(D68+(D69-D68)*(2/4),2)</f>
        <v/>
      </c>
      <c r="L41" s="17">
        <f>ROUND(E68+(E69-E68)*(2/4),2)</f>
        <v/>
      </c>
    </row>
    <row r="42" ht="28" customHeight="1">
      <c r="A42" s="14" t="n">
        <v>2031</v>
      </c>
      <c r="B42" s="20" t="inlineStr">
        <is>
          <t>Q3</t>
        </is>
      </c>
      <c r="C42" s="17">
        <f>SUM('Variables_And_Log'!L8:N8)</f>
        <v/>
      </c>
      <c r="D42" s="33">
        <f>G69</f>
        <v/>
      </c>
      <c r="E42" s="17">
        <f>H41</f>
        <v/>
      </c>
      <c r="F42" s="22">
        <f>IF(ISNUMBER(SEARCH("GOOD",D42)),MAX(0,I42-E42),0)</f>
        <v/>
      </c>
      <c r="G42" s="18" t="n"/>
      <c r="H42" s="17">
        <f>MAX(0,E42-C42+IF(G42="",F42,G42))</f>
        <v/>
      </c>
      <c r="I42" s="17">
        <f>H69*D69</f>
        <v/>
      </c>
      <c r="J42" s="18" t="n"/>
      <c r="K42" s="17">
        <f>ROUND(D68+(D69-D68)*(3/4),2)</f>
        <v/>
      </c>
      <c r="L42" s="17">
        <f>ROUND(E68+(E69-E68)*(3/4),2)</f>
        <v/>
      </c>
    </row>
    <row r="43" ht="28" customHeight="1">
      <c r="A43" s="14" t="n">
        <v>2031</v>
      </c>
      <c r="B43" s="20" t="inlineStr">
        <is>
          <t>Q4</t>
        </is>
      </c>
      <c r="C43" s="17">
        <f>SUM('Variables_And_Log'!O8:Q8)</f>
        <v/>
      </c>
      <c r="D43" s="33">
        <f>G69</f>
        <v/>
      </c>
      <c r="E43" s="17">
        <f>H42</f>
        <v/>
      </c>
      <c r="F43" s="22">
        <f>IF(ISNUMBER(SEARCH("GOOD",D43)),MAX(0,I43-E43),0)</f>
        <v/>
      </c>
      <c r="G43" s="18" t="n"/>
      <c r="H43" s="17">
        <f>MAX(0,E43-C43+IF(G43="",F43,G43))</f>
        <v/>
      </c>
      <c r="I43" s="17">
        <f>H69*D69</f>
        <v/>
      </c>
      <c r="J43" s="18" t="n"/>
      <c r="K43" s="17">
        <f>ROUND(D68+(D69-D68)*(4/4),2)</f>
        <v/>
      </c>
      <c r="L43" s="17">
        <f>ROUND(E68+(E69-E68)*(4/4),2)</f>
        <v/>
      </c>
    </row>
    <row r="44" ht="28" customHeight="1">
      <c r="A44" s="27" t="n">
        <v>2032</v>
      </c>
      <c r="B44" s="28" t="inlineStr">
        <is>
          <t>Q1</t>
        </is>
      </c>
      <c r="C44" s="29">
        <f>SUM('Variables_And_Log'!F9:H9)</f>
        <v/>
      </c>
      <c r="D44" s="30">
        <f>G70</f>
        <v/>
      </c>
      <c r="E44" s="29">
        <f>H43</f>
        <v/>
      </c>
      <c r="F44" s="31">
        <f>IF(ISNUMBER(SEARCH("GOOD",D44)),MAX(0,I44-E44),0)</f>
        <v/>
      </c>
      <c r="G44" s="32" t="n"/>
      <c r="H44" s="29">
        <f>MAX(0,E44-C44+IF(G44="",F44,G44))</f>
        <v/>
      </c>
      <c r="I44" s="29">
        <f>H70*D70</f>
        <v/>
      </c>
      <c r="J44" s="32" t="n"/>
      <c r="K44" s="29">
        <f>ROUND(D69+(D70-D69)*(1/4),2)</f>
        <v/>
      </c>
      <c r="L44" s="29">
        <f>ROUND(E69+(E70-E69)*(1/4),2)</f>
        <v/>
      </c>
    </row>
    <row r="45" ht="28" customHeight="1">
      <c r="A45" s="14" t="n">
        <v>2032</v>
      </c>
      <c r="B45" s="20" t="inlineStr">
        <is>
          <t>Q2</t>
        </is>
      </c>
      <c r="C45" s="17">
        <f>SUM('Variables_And_Log'!I9:K9)</f>
        <v/>
      </c>
      <c r="D45" s="33">
        <f>G70</f>
        <v/>
      </c>
      <c r="E45" s="17">
        <f>H44</f>
        <v/>
      </c>
      <c r="F45" s="22">
        <f>IF(ISNUMBER(SEARCH("GOOD",D45)),MAX(0,I45-E45),0)</f>
        <v/>
      </c>
      <c r="G45" s="18" t="n"/>
      <c r="H45" s="17">
        <f>MAX(0,E45-C45+IF(G45="",F45,G45))</f>
        <v/>
      </c>
      <c r="I45" s="17">
        <f>H70*D70</f>
        <v/>
      </c>
      <c r="J45" s="18" t="n"/>
      <c r="K45" s="17">
        <f>ROUND(D69+(D70-D69)*(2/4),2)</f>
        <v/>
      </c>
      <c r="L45" s="17">
        <f>ROUND(E69+(E70-E69)*(2/4),2)</f>
        <v/>
      </c>
    </row>
    <row r="46" ht="28" customHeight="1">
      <c r="A46" s="14" t="n">
        <v>2032</v>
      </c>
      <c r="B46" s="20" t="inlineStr">
        <is>
          <t>Q3</t>
        </is>
      </c>
      <c r="C46" s="17">
        <f>SUM('Variables_And_Log'!L9:N9)</f>
        <v/>
      </c>
      <c r="D46" s="33">
        <f>G70</f>
        <v/>
      </c>
      <c r="E46" s="17">
        <f>H45</f>
        <v/>
      </c>
      <c r="F46" s="22">
        <f>IF(ISNUMBER(SEARCH("GOOD",D46)),MAX(0,I46-E46),0)</f>
        <v/>
      </c>
      <c r="G46" s="18" t="n"/>
      <c r="H46" s="17">
        <f>MAX(0,E46-C46+IF(G46="",F46,G46))</f>
        <v/>
      </c>
      <c r="I46" s="17">
        <f>H70*D70</f>
        <v/>
      </c>
      <c r="J46" s="18" t="n"/>
      <c r="K46" s="17">
        <f>ROUND(D69+(D70-D69)*(3/4),2)</f>
        <v/>
      </c>
      <c r="L46" s="17">
        <f>ROUND(E69+(E70-E69)*(3/4),2)</f>
        <v/>
      </c>
    </row>
    <row r="47" ht="28" customHeight="1">
      <c r="A47" s="14" t="n">
        <v>2032</v>
      </c>
      <c r="B47" s="20" t="inlineStr">
        <is>
          <t>Q4</t>
        </is>
      </c>
      <c r="C47" s="17">
        <f>SUM('Variables_And_Log'!O9:Q9)</f>
        <v/>
      </c>
      <c r="D47" s="33">
        <f>G70</f>
        <v/>
      </c>
      <c r="E47" s="17">
        <f>H46</f>
        <v/>
      </c>
      <c r="F47" s="22">
        <f>IF(ISNUMBER(SEARCH("GOOD",D47)),MAX(0,I47-E47),0)</f>
        <v/>
      </c>
      <c r="G47" s="18" t="n"/>
      <c r="H47" s="17">
        <f>MAX(0,E47-C47+IF(G47="",F47,G47))</f>
        <v/>
      </c>
      <c r="I47" s="17">
        <f>H70*D70</f>
        <v/>
      </c>
      <c r="J47" s="18" t="n"/>
      <c r="K47" s="17">
        <f>ROUND(D69+(D70-D69)*(4/4),2)</f>
        <v/>
      </c>
      <c r="L47" s="17">
        <f>ROUND(E69+(E70-E69)*(4/4),2)</f>
        <v/>
      </c>
    </row>
    <row r="48" ht="28" customHeight="1">
      <c r="A48" s="27" t="n">
        <v>2033</v>
      </c>
      <c r="B48" s="28" t="inlineStr">
        <is>
          <t>Q1</t>
        </is>
      </c>
      <c r="C48" s="29">
        <f>SUM('Variables_And_Log'!F10:H10)</f>
        <v/>
      </c>
      <c r="D48" s="30">
        <f>G71</f>
        <v/>
      </c>
      <c r="E48" s="29">
        <f>H47</f>
        <v/>
      </c>
      <c r="F48" s="31">
        <f>IF(ISNUMBER(SEARCH("GOOD",D48)),MAX(0,I48-E48),0)</f>
        <v/>
      </c>
      <c r="G48" s="32" t="n"/>
      <c r="H48" s="29">
        <f>MAX(0,E48-C48+IF(G48="",F48,G48))</f>
        <v/>
      </c>
      <c r="I48" s="29">
        <f>H71*D71</f>
        <v/>
      </c>
      <c r="J48" s="32" t="n"/>
      <c r="K48" s="29">
        <f>ROUND(D70+(D71-D70)*(1/4),2)</f>
        <v/>
      </c>
      <c r="L48" s="29">
        <f>ROUND(E70+(E71-E70)*(1/4),2)</f>
        <v/>
      </c>
    </row>
    <row r="49" ht="28" customHeight="1">
      <c r="A49" s="14" t="n">
        <v>2033</v>
      </c>
      <c r="B49" s="20" t="inlineStr">
        <is>
          <t>Q2</t>
        </is>
      </c>
      <c r="C49" s="17">
        <f>SUM('Variables_And_Log'!I10:K10)</f>
        <v/>
      </c>
      <c r="D49" s="33">
        <f>G71</f>
        <v/>
      </c>
      <c r="E49" s="17">
        <f>H48</f>
        <v/>
      </c>
      <c r="F49" s="22">
        <f>IF(ISNUMBER(SEARCH("GOOD",D49)),MAX(0,I49-E49),0)</f>
        <v/>
      </c>
      <c r="G49" s="18" t="n"/>
      <c r="H49" s="17">
        <f>MAX(0,E49-C49+IF(G49="",F49,G49))</f>
        <v/>
      </c>
      <c r="I49" s="17">
        <f>H71*D71</f>
        <v/>
      </c>
      <c r="J49" s="18" t="n"/>
      <c r="K49" s="17">
        <f>ROUND(D70+(D71-D70)*(2/4),2)</f>
        <v/>
      </c>
      <c r="L49" s="17">
        <f>ROUND(E70+(E71-E70)*(2/4),2)</f>
        <v/>
      </c>
    </row>
    <row r="50" ht="28" customHeight="1">
      <c r="A50" s="14" t="n">
        <v>2033</v>
      </c>
      <c r="B50" s="20" t="inlineStr">
        <is>
          <t>Q3</t>
        </is>
      </c>
      <c r="C50" s="17">
        <f>SUM('Variables_And_Log'!L10:N10)</f>
        <v/>
      </c>
      <c r="D50" s="33">
        <f>G71</f>
        <v/>
      </c>
      <c r="E50" s="17">
        <f>H49</f>
        <v/>
      </c>
      <c r="F50" s="22">
        <f>IF(ISNUMBER(SEARCH("GOOD",D50)),MAX(0,I50-E50),0)</f>
        <v/>
      </c>
      <c r="G50" s="18" t="n"/>
      <c r="H50" s="17">
        <f>MAX(0,E50-C50+IF(G50="",F50,G50))</f>
        <v/>
      </c>
      <c r="I50" s="17">
        <f>H71*D71</f>
        <v/>
      </c>
      <c r="J50" s="18" t="n"/>
      <c r="K50" s="17">
        <f>ROUND(D70+(D71-D70)*(3/4),2)</f>
        <v/>
      </c>
      <c r="L50" s="17">
        <f>ROUND(E70+(E71-E70)*(3/4),2)</f>
        <v/>
      </c>
    </row>
    <row r="51" ht="28" customHeight="1">
      <c r="A51" s="14" t="n">
        <v>2033</v>
      </c>
      <c r="B51" s="20" t="inlineStr">
        <is>
          <t>Q4</t>
        </is>
      </c>
      <c r="C51" s="17">
        <f>SUM('Variables_And_Log'!O10:Q10)</f>
        <v/>
      </c>
      <c r="D51" s="33">
        <f>G71</f>
        <v/>
      </c>
      <c r="E51" s="17">
        <f>H50</f>
        <v/>
      </c>
      <c r="F51" s="22">
        <f>IF(ISNUMBER(SEARCH("GOOD",D51)),MAX(0,I51-E51),0)</f>
        <v/>
      </c>
      <c r="G51" s="18" t="n"/>
      <c r="H51" s="17">
        <f>MAX(0,E51-C51+IF(G51="",F51,G51))</f>
        <v/>
      </c>
      <c r="I51" s="17">
        <f>H71*D71</f>
        <v/>
      </c>
      <c r="J51" s="18" t="n"/>
      <c r="K51" s="17">
        <f>ROUND(D70+(D71-D70)*(4/4),2)</f>
        <v/>
      </c>
      <c r="L51" s="17">
        <f>ROUND(E70+(E71-E70)*(4/4),2)</f>
        <v/>
      </c>
    </row>
    <row r="52" ht="28" customHeight="1">
      <c r="A52" s="27" t="n">
        <v>2034</v>
      </c>
      <c r="B52" s="28" t="inlineStr">
        <is>
          <t>Q1</t>
        </is>
      </c>
      <c r="C52" s="29">
        <f>SUM('Variables_And_Log'!F11:H11)</f>
        <v/>
      </c>
      <c r="D52" s="30">
        <f>G72</f>
        <v/>
      </c>
      <c r="E52" s="29">
        <f>H51</f>
        <v/>
      </c>
      <c r="F52" s="31">
        <f>IF(ISNUMBER(SEARCH("GOOD",D52)),MAX(0,I52-E52),0)</f>
        <v/>
      </c>
      <c r="G52" s="32" t="n"/>
      <c r="H52" s="29">
        <f>MAX(0,E52-C52+IF(G52="",F52,G52))</f>
        <v/>
      </c>
      <c r="I52" s="29">
        <f>H72*D72</f>
        <v/>
      </c>
      <c r="J52" s="32" t="n"/>
      <c r="K52" s="29">
        <f>ROUND(D71+(D72-D71)*(1/4),2)</f>
        <v/>
      </c>
      <c r="L52" s="29">
        <f>ROUND(E71+(E72-E71)*(1/4),2)</f>
        <v/>
      </c>
    </row>
    <row r="53" ht="28" customHeight="1">
      <c r="A53" s="14" t="n">
        <v>2034</v>
      </c>
      <c r="B53" s="20" t="inlineStr">
        <is>
          <t>Q2</t>
        </is>
      </c>
      <c r="C53" s="17">
        <f>SUM('Variables_And_Log'!I11:K11)</f>
        <v/>
      </c>
      <c r="D53" s="33">
        <f>G72</f>
        <v/>
      </c>
      <c r="E53" s="17">
        <f>H52</f>
        <v/>
      </c>
      <c r="F53" s="22">
        <f>IF(ISNUMBER(SEARCH("GOOD",D53)),MAX(0,I53-E53),0)</f>
        <v/>
      </c>
      <c r="G53" s="18" t="n"/>
      <c r="H53" s="17">
        <f>MAX(0,E53-C53+IF(G53="",F53,G53))</f>
        <v/>
      </c>
      <c r="I53" s="17">
        <f>H72*D72</f>
        <v/>
      </c>
      <c r="J53" s="18" t="n"/>
      <c r="K53" s="17">
        <f>ROUND(D71+(D72-D71)*(2/4),2)</f>
        <v/>
      </c>
      <c r="L53" s="17">
        <f>ROUND(E71+(E72-E71)*(2/4),2)</f>
        <v/>
      </c>
    </row>
    <row r="54" ht="28" customHeight="1">
      <c r="A54" s="14" t="n">
        <v>2034</v>
      </c>
      <c r="B54" s="20" t="inlineStr">
        <is>
          <t>Q3</t>
        </is>
      </c>
      <c r="C54" s="17">
        <f>SUM('Variables_And_Log'!L11:N11)</f>
        <v/>
      </c>
      <c r="D54" s="33">
        <f>G72</f>
        <v/>
      </c>
      <c r="E54" s="17">
        <f>H53</f>
        <v/>
      </c>
      <c r="F54" s="22">
        <f>IF(ISNUMBER(SEARCH("GOOD",D54)),MAX(0,I54-E54),0)</f>
        <v/>
      </c>
      <c r="G54" s="18" t="n"/>
      <c r="H54" s="17">
        <f>MAX(0,E54-C54+IF(G54="",F54,G54))</f>
        <v/>
      </c>
      <c r="I54" s="17">
        <f>H72*D72</f>
        <v/>
      </c>
      <c r="J54" s="18" t="n"/>
      <c r="K54" s="17">
        <f>ROUND(D71+(D72-D71)*(3/4),2)</f>
        <v/>
      </c>
      <c r="L54" s="17">
        <f>ROUND(E71+(E72-E71)*(3/4),2)</f>
        <v/>
      </c>
    </row>
    <row r="55" ht="28" customHeight="1">
      <c r="A55" s="14" t="n">
        <v>2034</v>
      </c>
      <c r="B55" s="20" t="inlineStr">
        <is>
          <t>Q4</t>
        </is>
      </c>
      <c r="C55" s="17">
        <f>SUM('Variables_And_Log'!O11:Q11)</f>
        <v/>
      </c>
      <c r="D55" s="33">
        <f>G72</f>
        <v/>
      </c>
      <c r="E55" s="17">
        <f>H54</f>
        <v/>
      </c>
      <c r="F55" s="22">
        <f>IF(ISNUMBER(SEARCH("GOOD",D55)),MAX(0,I55-E55),0)</f>
        <v/>
      </c>
      <c r="G55" s="18" t="n"/>
      <c r="H55" s="17">
        <f>MAX(0,E55-C55+IF(G55="",F55,G55))</f>
        <v/>
      </c>
      <c r="I55" s="17">
        <f>H72*D72</f>
        <v/>
      </c>
      <c r="J55" s="18" t="n"/>
      <c r="K55" s="17">
        <f>ROUND(D71+(D72-D71)*(4/4),2)</f>
        <v/>
      </c>
      <c r="L55" s="17">
        <f>ROUND(E71+(E72-E71)*(4/4),2)</f>
        <v/>
      </c>
    </row>
    <row r="56" ht="28" customHeight="1">
      <c r="A56" s="27" t="n">
        <v>2035</v>
      </c>
      <c r="B56" s="28" t="inlineStr">
        <is>
          <t>Q1</t>
        </is>
      </c>
      <c r="C56" s="29">
        <f>SUM('Variables_And_Log'!F12:H12)</f>
        <v/>
      </c>
      <c r="D56" s="30">
        <f>G73</f>
        <v/>
      </c>
      <c r="E56" s="29">
        <f>H55</f>
        <v/>
      </c>
      <c r="F56" s="31">
        <f>IF(ISNUMBER(SEARCH("GOOD",D56)),MAX(0,I56-E56),0)</f>
        <v/>
      </c>
      <c r="G56" s="32" t="n"/>
      <c r="H56" s="29">
        <f>MAX(0,E56-C56+IF(G56="",F56,G56))</f>
        <v/>
      </c>
      <c r="I56" s="29">
        <f>H73*D73</f>
        <v/>
      </c>
      <c r="J56" s="32" t="n"/>
      <c r="K56" s="29">
        <f>ROUND(D72+(D73-D72)*(1/4),2)</f>
        <v/>
      </c>
      <c r="L56" s="29">
        <f>ROUND(E72+(E73-E72)*(1/4),2)</f>
        <v/>
      </c>
    </row>
    <row r="57" ht="28" customHeight="1">
      <c r="A57" s="14" t="n">
        <v>2035</v>
      </c>
      <c r="B57" s="20" t="inlineStr">
        <is>
          <t>Q2</t>
        </is>
      </c>
      <c r="C57" s="17">
        <f>SUM('Variables_And_Log'!I12:K12)</f>
        <v/>
      </c>
      <c r="D57" s="33">
        <f>G73</f>
        <v/>
      </c>
      <c r="E57" s="17">
        <f>H56</f>
        <v/>
      </c>
      <c r="F57" s="22">
        <f>IF(ISNUMBER(SEARCH("GOOD",D57)),MAX(0,I57-E57),0)</f>
        <v/>
      </c>
      <c r="G57" s="18" t="n"/>
      <c r="H57" s="17">
        <f>MAX(0,E57-C57+IF(G57="",F57,G57))</f>
        <v/>
      </c>
      <c r="I57" s="17">
        <f>H73*D73</f>
        <v/>
      </c>
      <c r="J57" s="18" t="n"/>
      <c r="K57" s="17">
        <f>ROUND(D72+(D73-D72)*(2/4),2)</f>
        <v/>
      </c>
      <c r="L57" s="17">
        <f>ROUND(E72+(E73-E72)*(2/4),2)</f>
        <v/>
      </c>
    </row>
    <row r="58" ht="28" customHeight="1">
      <c r="A58" s="14" t="n">
        <v>2035</v>
      </c>
      <c r="B58" s="20" t="inlineStr">
        <is>
          <t>Q3</t>
        </is>
      </c>
      <c r="C58" s="17">
        <f>SUM('Variables_And_Log'!L12:N12)</f>
        <v/>
      </c>
      <c r="D58" s="33">
        <f>G73</f>
        <v/>
      </c>
      <c r="E58" s="17">
        <f>H57</f>
        <v/>
      </c>
      <c r="F58" s="22">
        <f>IF(ISNUMBER(SEARCH("GOOD",D58)),MAX(0,I58-E58),0)</f>
        <v/>
      </c>
      <c r="G58" s="18" t="n"/>
      <c r="H58" s="17">
        <f>MAX(0,E58-C58+IF(G58="",F58,G58))</f>
        <v/>
      </c>
      <c r="I58" s="17">
        <f>H73*D73</f>
        <v/>
      </c>
      <c r="J58" s="18" t="n"/>
      <c r="K58" s="17">
        <f>ROUND(D72+(D73-D72)*(3/4),2)</f>
        <v/>
      </c>
      <c r="L58" s="17">
        <f>ROUND(E72+(E73-E72)*(3/4),2)</f>
        <v/>
      </c>
    </row>
    <row r="59" ht="28" customHeight="1">
      <c r="A59" s="14" t="n">
        <v>2035</v>
      </c>
      <c r="B59" s="20" t="inlineStr">
        <is>
          <t>Q4</t>
        </is>
      </c>
      <c r="C59" s="17">
        <f>SUM('Variables_And_Log'!O12:Q12)</f>
        <v/>
      </c>
      <c r="D59" s="33">
        <f>G73</f>
        <v/>
      </c>
      <c r="E59" s="17">
        <f>H58</f>
        <v/>
      </c>
      <c r="F59" s="22">
        <f>IF(ISNUMBER(SEARCH("GOOD",D59)),MAX(0,I59-E59),0)</f>
        <v/>
      </c>
      <c r="G59" s="18" t="n"/>
      <c r="H59" s="17">
        <f>MAX(0,E59-C59+IF(G59="",F59,G59))</f>
        <v/>
      </c>
      <c r="I59" s="17">
        <f>H73*D73</f>
        <v/>
      </c>
      <c r="J59" s="18" t="n"/>
      <c r="K59" s="17">
        <f>ROUND(D72+(D73-D72)*(4/4),2)</f>
        <v/>
      </c>
      <c r="L59" s="17">
        <f>ROUND(E72+(E73-E72)*(4/4),2)</f>
        <v/>
      </c>
    </row>
    <row r="60"/>
    <row r="61"/>
    <row r="62" ht="20" customHeight="1">
      <c r="A62" s="2" t="inlineStr">
        <is>
          <t>ANNUAL SRR HURDLE MODEL — STRATEGIC PACING CHECK (GATES THE QUARTERLY REFILL ABOVE)</t>
        </is>
      </c>
      <c r="B62" s="2" t="n"/>
      <c r="C62" s="2" t="n"/>
      <c r="D62" s="2" t="n"/>
      <c r="E62" s="2" t="n"/>
      <c r="F62" s="2" t="n"/>
      <c r="G62" s="2" t="n"/>
      <c r="H62" s="2" t="n"/>
      <c r="I62" s="2" t="n"/>
    </row>
    <row r="63" ht="40" customHeight="1">
      <c r="A63" s="11" t="inlineStr">
        <is>
          <t>Year</t>
        </is>
      </c>
      <c r="B63" s="11" t="inlineStr">
        <is>
          <t>Total Annual Hurdle Rate</t>
        </is>
      </c>
      <c r="C63" s="11" t="inlineStr">
        <is>
          <t>Annual Outflows (W_t)</t>
        </is>
      </c>
      <c r="D63" s="11" t="inlineStr">
        <is>
          <t>Current Predicted Wealth (P_track) — Real, Unadjusted</t>
        </is>
      </c>
      <c r="E63" s="11" t="inlineStr">
        <is>
          <t>Original Predicted Wealth (Freeze By Hand Once)</t>
        </is>
      </c>
      <c r="F63" s="11" t="inlineStr">
        <is>
          <t>Actual Balance (Logged)</t>
        </is>
      </c>
      <c r="G63" s="11" t="inlineStr">
        <is>
          <t>Performance Logic Trigger</t>
        </is>
      </c>
      <c r="H63" s="11" t="inlineStr">
        <is>
          <t>Safety Anchor % (This Year)</t>
        </is>
      </c>
      <c r="I63" s="11" t="inlineStr">
        <is>
          <t>Market Performance Basis (P_track, Adjusted for Roth Tax Cost) — Trigger Only</t>
        </is>
      </c>
    </row>
    <row r="64" ht="28" customHeight="1">
      <c r="A64" s="14" t="n">
        <v>2026</v>
      </c>
      <c r="B64" s="16">
        <f>'Variables_And_Log'!D3</f>
        <v/>
      </c>
      <c r="C64" s="17">
        <f>'Variables_And_Log'!E3</f>
        <v/>
      </c>
      <c r="D64" s="17">
        <f>ROUND((B1*B64)-C64,2)</f>
        <v/>
      </c>
      <c r="E64" s="17">
        <f>D64</f>
        <v/>
      </c>
      <c r="F64" s="17">
        <f>IF(J23="",NA(),J23)</f>
        <v/>
      </c>
      <c r="G64" s="33">
        <f>IF($B$3&gt;=I64,"✅ GOOD: Execute T2065 Rebalance &amp; Rollover to TSP","⚠️ POOR: Freeze Equities. Draw Down G Fund")</f>
        <v/>
      </c>
      <c r="H64" s="16">
        <f>IF(A64-$D$8&gt;=$D$10,$D$12,$D$11+($D$12-$D$11)*(A64-$D$8)/$D$10)</f>
        <v/>
      </c>
      <c r="I64" s="17">
        <f>ROUND(($B$3*B64)-C64,2)</f>
        <v/>
      </c>
    </row>
    <row r="65" ht="28" customHeight="1">
      <c r="A65" s="14" t="n">
        <v>2027</v>
      </c>
      <c r="B65" s="16">
        <f>'Variables_And_Log'!D4</f>
        <v/>
      </c>
      <c r="C65" s="17">
        <f>'Variables_And_Log'!E4</f>
        <v/>
      </c>
      <c r="D65" s="17">
        <f>ROUND((D64*B65)-C65,2)</f>
        <v/>
      </c>
      <c r="E65" s="17">
        <f>D65</f>
        <v/>
      </c>
      <c r="F65" s="17">
        <f>IF(J27="",NA(),J27)</f>
        <v/>
      </c>
      <c r="G65" s="33">
        <f>IF($B$3&gt;=I65,"✅ GOOD: Execute T2065 Rebalance &amp; Rollover to TSP","⚠️ POOR: Freeze Equities. Draw Down G Fund")</f>
        <v/>
      </c>
      <c r="H65" s="16">
        <f>IF(A65-$D$8&gt;=$D$10,$D$12,$D$11+($D$12-$D$11)*(A65-$D$8)/$D$10)</f>
        <v/>
      </c>
      <c r="I65" s="17">
        <f>ROUND((I64*B65)-C65,2)</f>
        <v/>
      </c>
    </row>
    <row r="66" ht="28" customHeight="1">
      <c r="A66" s="14" t="n">
        <v>2028</v>
      </c>
      <c r="B66" s="16">
        <f>'Variables_And_Log'!D5</f>
        <v/>
      </c>
      <c r="C66" s="17">
        <f>'Variables_And_Log'!E5</f>
        <v/>
      </c>
      <c r="D66" s="17">
        <f>ROUND((D65*B66)-C66,2)</f>
        <v/>
      </c>
      <c r="E66" s="17">
        <f>D66</f>
        <v/>
      </c>
      <c r="F66" s="17">
        <f>IF(J31="",NA(),J31)</f>
        <v/>
      </c>
      <c r="G66" s="33">
        <f>IF($B$3&gt;=I66,"✅ GOOD: Execute T2065 Rebalance &amp; Rollover to TSP","⚠️ POOR: Freeze Equities. Draw Down G Fund")</f>
        <v/>
      </c>
      <c r="H66" s="16">
        <f>IF(A66-$D$8&gt;=$D$10,$D$12,$D$11+($D$12-$D$11)*(A66-$D$8)/$D$10)</f>
        <v/>
      </c>
      <c r="I66" s="17">
        <f>ROUND((I65*B66)-C66,2)</f>
        <v/>
      </c>
    </row>
    <row r="67" ht="28" customHeight="1">
      <c r="A67" s="14" t="n">
        <v>2029</v>
      </c>
      <c r="B67" s="16">
        <f>'Variables_And_Log'!D6</f>
        <v/>
      </c>
      <c r="C67" s="17">
        <f>'Variables_And_Log'!E6</f>
        <v/>
      </c>
      <c r="D67" s="17">
        <f>ROUND((D66*B67)-C67,2)</f>
        <v/>
      </c>
      <c r="E67" s="17">
        <f>D67</f>
        <v/>
      </c>
      <c r="F67" s="17">
        <f>IF(J35="",NA(),J35)</f>
        <v/>
      </c>
      <c r="G67" s="33">
        <f>IF($B$3&gt;=I67,"✅ GOOD: Execute T2065 Rebalance &amp; Rollover to TSP","⚠️ POOR: Freeze Equities. Draw Down G Fund")</f>
        <v/>
      </c>
      <c r="H67" s="16">
        <f>IF(A67-$D$8&gt;=$D$10,$D$12,$D$11+($D$12-$D$11)*(A67-$D$8)/$D$10)</f>
        <v/>
      </c>
      <c r="I67" s="17">
        <f>ROUND((I66*B67)-C67,2)</f>
        <v/>
      </c>
    </row>
    <row r="68" ht="28" customHeight="1">
      <c r="A68" s="14" t="n">
        <v>2030</v>
      </c>
      <c r="B68" s="16">
        <f>'Variables_And_Log'!D7</f>
        <v/>
      </c>
      <c r="C68" s="17">
        <f>'Variables_And_Log'!E7</f>
        <v/>
      </c>
      <c r="D68" s="17">
        <f>ROUND((D67*B68)-C68,2)</f>
        <v/>
      </c>
      <c r="E68" s="17">
        <f>D68</f>
        <v/>
      </c>
      <c r="F68" s="17">
        <f>IF(J39="",NA(),J39)</f>
        <v/>
      </c>
      <c r="G68" s="33">
        <f>IF($B$3&gt;=I68,"✅ GOOD: Execute T2065 Rebalance &amp; Rollover to TSP","⚠️ POOR: Freeze Equities. Draw Down G Fund")</f>
        <v/>
      </c>
      <c r="H68" s="16">
        <f>IF(A68-$D$8&gt;=$D$10,$D$12,$D$11+($D$12-$D$11)*(A68-$D$8)/$D$10)</f>
        <v/>
      </c>
      <c r="I68" s="17">
        <f>ROUND((I67*B68)-C68,2)</f>
        <v/>
      </c>
    </row>
    <row r="69" ht="28" customHeight="1">
      <c r="A69" s="14" t="n">
        <v>2031</v>
      </c>
      <c r="B69" s="16">
        <f>'Variables_And_Log'!D8</f>
        <v/>
      </c>
      <c r="C69" s="17">
        <f>'Variables_And_Log'!E8</f>
        <v/>
      </c>
      <c r="D69" s="17">
        <f>ROUND((D68*B69)-C69,2)</f>
        <v/>
      </c>
      <c r="E69" s="17">
        <f>D69</f>
        <v/>
      </c>
      <c r="F69" s="17">
        <f>IF(J43="",NA(),J43)</f>
        <v/>
      </c>
      <c r="G69" s="33">
        <f>IF($B$3&gt;=I69,"✅ GOOD: Execute T2065 Rebalance &amp; Rollover to TSP","⚠️ POOR: Freeze Equities. Draw Down G Fund")</f>
        <v/>
      </c>
      <c r="H69" s="16">
        <f>IF(A69-$D$8&gt;=$D$10,$D$12,$D$11+($D$12-$D$11)*(A69-$D$8)/$D$10)</f>
        <v/>
      </c>
      <c r="I69" s="17">
        <f>ROUND((I68*B69)-C69,2)</f>
        <v/>
      </c>
    </row>
    <row r="70" ht="28" customHeight="1">
      <c r="A70" s="14" t="n">
        <v>2032</v>
      </c>
      <c r="B70" s="16">
        <f>'Variables_And_Log'!D9</f>
        <v/>
      </c>
      <c r="C70" s="17">
        <f>'Variables_And_Log'!E9</f>
        <v/>
      </c>
      <c r="D70" s="17">
        <f>ROUND((D69*B70)-C70,2)</f>
        <v/>
      </c>
      <c r="E70" s="17">
        <f>D70</f>
        <v/>
      </c>
      <c r="F70" s="17">
        <f>IF(J47="",NA(),J47)</f>
        <v/>
      </c>
      <c r="G70" s="33">
        <f>IF($B$3&gt;=I70,"✅ GOOD: Execute T2065 Rebalance &amp; Rollover to TSP","⚠️ POOR: Freeze Equities. Draw Down G Fund")</f>
        <v/>
      </c>
      <c r="H70" s="16">
        <f>IF(A70-$D$8&gt;=$D$10,$D$12,$D$11+($D$12-$D$11)*(A70-$D$8)/$D$10)</f>
        <v/>
      </c>
      <c r="I70" s="17">
        <f>ROUND((I69*B70)-C70,2)</f>
        <v/>
      </c>
    </row>
    <row r="71" ht="28" customHeight="1">
      <c r="A71" s="14" t="n">
        <v>2033</v>
      </c>
      <c r="B71" s="16">
        <f>'Variables_And_Log'!D10</f>
        <v/>
      </c>
      <c r="C71" s="17">
        <f>'Variables_And_Log'!E10</f>
        <v/>
      </c>
      <c r="D71" s="17">
        <f>ROUND((D70*B71)-C71,2)</f>
        <v/>
      </c>
      <c r="E71" s="17">
        <f>D71</f>
        <v/>
      </c>
      <c r="F71" s="17">
        <f>IF(J51="",NA(),J51)</f>
        <v/>
      </c>
      <c r="G71" s="33">
        <f>IF($B$3&gt;=I71,"✅ GOOD: Execute T2065 Rebalance &amp; Rollover to TSP","⚠️ POOR: Freeze Equities. Draw Down G Fund")</f>
        <v/>
      </c>
      <c r="H71" s="16">
        <f>IF(A71-$D$8&gt;=$D$10,$D$12,$D$11+($D$12-$D$11)*(A71-$D$8)/$D$10)</f>
        <v/>
      </c>
      <c r="I71" s="17">
        <f>ROUND((I70*B71)-C71,2)</f>
        <v/>
      </c>
    </row>
    <row r="72" ht="28" customHeight="1">
      <c r="A72" s="14" t="n">
        <v>2034</v>
      </c>
      <c r="B72" s="16">
        <f>'Variables_And_Log'!D11</f>
        <v/>
      </c>
      <c r="C72" s="17">
        <f>'Variables_And_Log'!E11</f>
        <v/>
      </c>
      <c r="D72" s="17">
        <f>ROUND((D71*B72)-C72,2)</f>
        <v/>
      </c>
      <c r="E72" s="17">
        <f>D72</f>
        <v/>
      </c>
      <c r="F72" s="17">
        <f>IF(J55="",NA(),J55)</f>
        <v/>
      </c>
      <c r="G72" s="33">
        <f>IF($B$3&gt;=I72,"✅ GOOD: Execute T2065 Rebalance &amp; Rollover to TSP","⚠️ POOR: Freeze Equities. Draw Down G Fund")</f>
        <v/>
      </c>
      <c r="H72" s="16">
        <f>IF(A72-$D$8&gt;=$D$10,$D$12,$D$11+($D$12-$D$11)*(A72-$D$8)/$D$10)</f>
        <v/>
      </c>
      <c r="I72" s="17">
        <f>ROUND((I71*B72)-C72,2)</f>
        <v/>
      </c>
    </row>
    <row r="73" ht="28" customHeight="1">
      <c r="A73" s="14" t="n">
        <v>2035</v>
      </c>
      <c r="B73" s="16">
        <f>'Variables_And_Log'!D12</f>
        <v/>
      </c>
      <c r="C73" s="17">
        <f>'Variables_And_Log'!E12</f>
        <v/>
      </c>
      <c r="D73" s="17">
        <f>ROUND((D72*B73)-C73,2)</f>
        <v/>
      </c>
      <c r="E73" s="17">
        <f>D73</f>
        <v/>
      </c>
      <c r="F73" s="17">
        <f>IF(J59="",NA(),J59)</f>
        <v/>
      </c>
      <c r="G73" s="33">
        <f>IF($B$3&gt;=I73,"✅ GOOD: Execute T2065 Rebalance &amp; Rollover to TSP","⚠️ POOR: Freeze Equities. Draw Down G Fund")</f>
        <v/>
      </c>
      <c r="H73" s="16">
        <f>IF(A73-$D$8&gt;=$D$10,$D$12,$D$11+($D$12-$D$11)*(A73-$D$8)/$D$10)</f>
        <v/>
      </c>
      <c r="I73" s="17">
        <f>ROUND((I72*B73)-C73,2)</f>
        <v/>
      </c>
    </row>
    <row r="74"/>
    <row r="75">
      <c r="A75" s="2" t="inlineStr">
        <is>
          <t>EXTRA CAPACITY INDICATORS</t>
        </is>
      </c>
      <c r="B75" s="2" t="n"/>
      <c r="C75" s="2" t="n"/>
    </row>
    <row r="76">
      <c r="A76" s="24" t="inlineStr">
        <is>
          <t>Your Pre-Tax Rollover Conduit Capacity</t>
        </is>
      </c>
      <c r="B76" s="17">
        <f>'Account_Tracker'!$C$3</f>
        <v/>
      </c>
      <c r="C76" s="21">
        <f>IF(B76&gt;0,"Conduit Open","Conduit Closed")</f>
        <v/>
      </c>
    </row>
    <row r="77"/>
    <row r="78">
      <c r="A78" s="24" t="inlineStr">
        <is>
          <t>TSP Cash Buffer Runway (Months)</t>
        </is>
      </c>
      <c r="B78" s="34">
        <f>IFERROR('Account_Tracker'!$C$2/AVERAGE('Variables_And_Log'!$F$3:$Q$3),"Log Monthly Payments to Calculate")</f>
        <v/>
      </c>
      <c r="C78" s="21">
        <f>IF(ISNUMBER(B78),IF(B78&gt;36,"Safe: 3+ Year Volatility Shield","Caution: Shield Shrinking"),"Awaiting Payment Data")</f>
        <v/>
      </c>
    </row>
    <row r="79">
      <c r="A79" s="19" t="inlineStr">
        <is>
          <t>(Runway uses the average of whichever 2026 monthly TSP payments you've logged so far.)</t>
        </is>
      </c>
    </row>
    <row r="80"/>
    <row r="81">
      <c r="A81" s="2" t="inlineStr">
        <is>
          <t>EMERGENCY LIQUIDITY PROTOCOL — NEXT-DOLLAR PRIORITY ENGINE</t>
        </is>
      </c>
      <c r="B81" s="2" t="n"/>
      <c r="C81" s="2" t="n"/>
      <c r="D81" s="2" t="n"/>
      <c r="E81" s="2" t="n"/>
    </row>
    <row r="82" ht="60" customHeight="1">
      <c r="A82" s="24" t="inlineStr">
        <is>
          <t>Next-Dollar Liquidity Priority</t>
        </is>
      </c>
      <c r="B82" s="35">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82" s="6" t="n"/>
      <c r="D82" s="6" t="n"/>
      <c r="E82" s="6" t="n"/>
    </row>
    <row r="83" ht="20" customHeight="1">
      <c r="B83" s="6" t="n"/>
      <c r="C83" s="6" t="n"/>
      <c r="D83" s="6" t="n"/>
      <c r="E83" s="6" t="n"/>
    </row>
    <row r="84" ht="20" customHeight="1">
      <c r="B84" s="6" t="n"/>
      <c r="C84" s="6" t="n"/>
      <c r="D84" s="6" t="n"/>
      <c r="E84" s="6" t="n"/>
    </row>
    <row r="85"/>
    <row r="86">
      <c r="A86" s="19" t="inlineStr">
        <is>
          <t>Legend: pale-yellow cells are yours to type into; white cells hold formulas -- please don't overwrite them.</t>
        </is>
      </c>
    </row>
  </sheetData>
  <mergeCells count="6">
    <mergeCell ref="A81:E81"/>
    <mergeCell ref="A6:D6"/>
    <mergeCell ref="A75:C75"/>
    <mergeCell ref="B82:E84"/>
    <mergeCell ref="A18:L18"/>
    <mergeCell ref="A62:I62"/>
  </mergeCells>
  <conditionalFormatting sqref="B82:B84">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showGridLines="1" workbookViewId="0">
      <selection activeCell="A1" sqref="A1"/>
    </sheetView>
  </sheetViews>
  <sheetFormatPr baseColWidth="8" defaultRowHeight="15"/>
  <sheetData>
    <row r="1" ht="24" customHeight="1">
      <c r="A1" s="1" t="inlineStr">
        <is>
          <t>HOUSEHOLD WEALTH — ORIGINAL VS. CURRENT PROJECTION VS. ACTUAL</t>
        </is>
      </c>
      <c r="B1" s="1" t="n"/>
      <c r="C1" s="1" t="n"/>
      <c r="D1" s="1" t="n"/>
      <c r="E1" s="1" t="n"/>
      <c r="F1" s="1" t="n"/>
    </row>
    <row r="3" ht="98" customHeight="1">
      <c r="A3" s="3" t="inlineStr">
        <is>
          <t>This chart reads directly from the Quarterly Refill Engine table on The_Refill_Engine -- there is nothing to edit here. Actual Balance is whatever you've logged there each quarter. Current and Original Predicted Wealth are only computed once a year on the Annual SRR Hurdle Model below that table, so the quarterly points in between are a straight-line interpolation for a smoother comparison -- not a new quarterly hurdle-rate model. Original only means something once you've frozen it there (see the note on that column).</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2026-09-03T20:19:47Z</dcterms:created>
  <dcterms:modified xmlns:dcterms="http://purl.org/dc/terms/" xmlns:xsi="http://www.w3.org/2001/XMLSchema-instance" xsi:type="dcterms:W3CDTF">2026-09-03T20:19:47Z</dcterms:modified>
</cp:coreProperties>
</file>