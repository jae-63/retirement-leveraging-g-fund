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ariables_And_Log" sheetId="1" state="visible" r:id="rId1"/>
    <sheet xmlns:r="http://schemas.openxmlformats.org/officeDocument/2006/relationships" name="Account_Tracker" sheetId="2" state="visible" r:id="rId2"/>
    <sheet xmlns:r="http://schemas.openxmlformats.org/officeDocument/2006/relationships" name="The_Refill_Engine" sheetId="3" state="visible" r:id="rId3"/>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i val="1"/>
      <color rgb="00595959"/>
      <sz val="9"/>
    </font>
    <font>
      <name val="Segoe UI"/>
      <b val="1"/>
      <sz val="11"/>
    </font>
    <font>
      <name val="Segoe UI"/>
      <sz val="10"/>
    </font>
  </fonts>
  <fills count="6">
    <fill>
      <patternFill/>
    </fill>
    <fill>
      <patternFill patternType="gray125"/>
    </fill>
    <fill>
      <patternFill patternType="solid">
        <fgColor rgb="0044546A"/>
        <bgColor rgb="0044546A"/>
      </patternFill>
    </fill>
    <fill>
      <patternFill patternType="solid">
        <fgColor rgb="001F3864"/>
        <bgColor rgb="001F3864"/>
      </patternFill>
    </fill>
    <fill>
      <patternFill patternType="solid">
        <fgColor rgb="00FFFDE7"/>
        <bgColor rgb="00FFFDE7"/>
      </patternFill>
    </fill>
    <fill>
      <patternFill patternType="solid">
        <fgColor rgb="00DCE6F1"/>
        <bgColor rgb="00DCE6F1"/>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25">
    <xf numFmtId="0" fontId="0" fillId="0" borderId="0" pivotButton="0" quotePrefix="0" xfId="0"/>
    <xf numFmtId="0" fontId="1" fillId="2" borderId="1" pivotButton="0" quotePrefix="0" xfId="0"/>
    <xf numFmtId="0" fontId="1" fillId="3" borderId="1" applyAlignment="1" pivotButton="0" quotePrefix="0" xfId="0">
      <alignment horizontal="center" vertical="center"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0" fontId="3" fillId="0" borderId="0" pivotButton="0" quotePrefix="0" xfId="0"/>
    <xf numFmtId="0" fontId="2" fillId="0" borderId="1" pivotButton="0" quotePrefix="0" xfId="0"/>
    <xf numFmtId="0" fontId="4" fillId="5" borderId="1" pivotButton="0" quotePrefix="0" xfId="0"/>
    <xf numFmtId="164" fontId="4" fillId="5" borderId="1" pivotButton="0" quotePrefix="0" xfId="0"/>
    <xf numFmtId="10" fontId="4" fillId="5" borderId="1" pivotButton="0" quotePrefix="0" xfId="0"/>
    <xf numFmtId="0" fontId="4" fillId="0" borderId="1" pivotButton="0" quotePrefix="0" xfId="0"/>
    <xf numFmtId="10" fontId="4" fillId="4"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4"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xf numFmtId="0" fontId="0" fillId="0" borderId="1" pivotButton="0" quotePrefix="0" xfId="0"/>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0" customHeight="1">
      <c r="A1" s="1" t="inlineStr">
        <is>
          <t>HOUSEHOLD VARIABLE LOG — ANNUAL HURDLE INPUTS &amp; MONTHLY TSP → CHECKING PAYMENT LOG (2026-2035)</t>
        </is>
      </c>
      <c r="B1" s="1" t="n"/>
      <c r="C1" s="1" t="n"/>
      <c r="D1" s="1" t="n"/>
      <c r="E1" s="1" t="n"/>
      <c r="F1" s="1" t="n"/>
      <c r="G1" s="1" t="n"/>
      <c r="H1" s="1" t="n"/>
      <c r="I1" s="1" t="n"/>
      <c r="J1" s="1" t="n"/>
      <c r="K1" s="1" t="n"/>
      <c r="L1" s="1" t="n"/>
      <c r="M1" s="1" t="n"/>
      <c r="N1" s="1" t="n"/>
      <c r="O1" s="1" t="n"/>
      <c r="P1" s="1" t="n"/>
      <c r="Q1" s="1" t="n"/>
    </row>
    <row r="2" ht="32" customHeight="1">
      <c r="A2" s="2" t="inlineStr">
        <is>
          <t>Date / Year</t>
        </is>
      </c>
      <c r="B2" s="2" t="inlineStr">
        <is>
          <t>Actual Federal COLA (C_i)</t>
        </is>
      </c>
      <c r="C2" s="2" t="inlineStr">
        <is>
          <t>Rule of Four Hurdle Baseline</t>
        </is>
      </c>
      <c r="D2" s="2" t="inlineStr">
        <is>
          <t>Total Annual Hurdle Rate</t>
        </is>
      </c>
      <c r="E2" s="2" t="inlineStr">
        <is>
          <t>Total Annual Outflows (W_t)</t>
        </is>
      </c>
      <c r="F2" s="2" t="inlineStr">
        <is>
          <t>Jan</t>
        </is>
      </c>
      <c r="G2" s="2" t="inlineStr">
        <is>
          <t>Feb</t>
        </is>
      </c>
      <c r="H2" s="2" t="inlineStr">
        <is>
          <t>Mar</t>
        </is>
      </c>
      <c r="I2" s="2" t="inlineStr">
        <is>
          <t>Apr</t>
        </is>
      </c>
      <c r="J2" s="2" t="inlineStr">
        <is>
          <t>May</t>
        </is>
      </c>
      <c r="K2" s="2" t="inlineStr">
        <is>
          <t>Jun</t>
        </is>
      </c>
      <c r="L2" s="2" t="inlineStr">
        <is>
          <t>Jul</t>
        </is>
      </c>
      <c r="M2" s="2" t="inlineStr">
        <is>
          <t>Aug</t>
        </is>
      </c>
      <c r="N2" s="2" t="inlineStr">
        <is>
          <t>Sep</t>
        </is>
      </c>
      <c r="O2" s="2" t="inlineStr">
        <is>
          <t>Oct</t>
        </is>
      </c>
      <c r="P2" s="2" t="inlineStr">
        <is>
          <t>Nov</t>
        </is>
      </c>
      <c r="Q2" s="2" t="inlineStr">
        <is>
          <t>Dec</t>
        </is>
      </c>
    </row>
    <row r="3">
      <c r="A3" s="3" t="n">
        <v>2026</v>
      </c>
      <c r="B3" s="4" t="n">
        <v>0.026</v>
      </c>
      <c r="C3" s="5" t="n">
        <v>0.02</v>
      </c>
      <c r="D3" s="5">
        <f>(1+B3)*(1+C3)</f>
        <v/>
      </c>
      <c r="E3" s="6">
        <f>SUM(F3:Q3)</f>
        <v/>
      </c>
      <c r="F3" s="7" t="n"/>
      <c r="G3" s="7" t="n"/>
      <c r="H3" s="7" t="n"/>
      <c r="I3" s="7" t="n"/>
      <c r="J3" s="7" t="n"/>
      <c r="K3" s="7" t="n"/>
      <c r="L3" s="7" t="n"/>
      <c r="M3" s="7" t="n"/>
      <c r="N3" s="7" t="n"/>
      <c r="O3" s="7" t="n"/>
      <c r="P3" s="7" t="n"/>
      <c r="Q3" s="7" t="n"/>
    </row>
    <row r="4">
      <c r="A4" s="3" t="n">
        <v>2027</v>
      </c>
      <c r="B4" s="4" t="n"/>
      <c r="C4" s="5" t="n">
        <v>0.02</v>
      </c>
      <c r="D4" s="5">
        <f>(1+B4)*(1+C4)</f>
        <v/>
      </c>
      <c r="E4" s="6">
        <f>SUM(F4:Q4)</f>
        <v/>
      </c>
      <c r="F4" s="7" t="n"/>
      <c r="G4" s="7" t="n"/>
      <c r="H4" s="7" t="n"/>
      <c r="I4" s="7" t="n"/>
      <c r="J4" s="7" t="n"/>
      <c r="K4" s="7" t="n"/>
      <c r="L4" s="7" t="n"/>
      <c r="M4" s="7" t="n"/>
      <c r="N4" s="7" t="n"/>
      <c r="O4" s="7" t="n"/>
      <c r="P4" s="7" t="n"/>
      <c r="Q4" s="7" t="n"/>
    </row>
    <row r="5">
      <c r="A5" s="3" t="n">
        <v>2028</v>
      </c>
      <c r="B5" s="4" t="n"/>
      <c r="C5" s="5" t="n">
        <v>0.02</v>
      </c>
      <c r="D5" s="5">
        <f>(1+B5)*(1+C5)</f>
        <v/>
      </c>
      <c r="E5" s="6">
        <f>SUM(F5:Q5)</f>
        <v/>
      </c>
      <c r="F5" s="7" t="n"/>
      <c r="G5" s="7" t="n"/>
      <c r="H5" s="7" t="n"/>
      <c r="I5" s="7" t="n"/>
      <c r="J5" s="7" t="n"/>
      <c r="K5" s="7" t="n"/>
      <c r="L5" s="7" t="n"/>
      <c r="M5" s="7" t="n"/>
      <c r="N5" s="7" t="n"/>
      <c r="O5" s="7" t="n"/>
      <c r="P5" s="7" t="n"/>
      <c r="Q5" s="7" t="n"/>
    </row>
    <row r="6">
      <c r="A6" s="3" t="n">
        <v>2029</v>
      </c>
      <c r="B6" s="4" t="n"/>
      <c r="C6" s="5" t="n">
        <v>0.02</v>
      </c>
      <c r="D6" s="5">
        <f>(1+B6)*(1+C6)</f>
        <v/>
      </c>
      <c r="E6" s="6">
        <f>SUM(F6:Q6)</f>
        <v/>
      </c>
      <c r="F6" s="7" t="n"/>
      <c r="G6" s="7" t="n"/>
      <c r="H6" s="7" t="n"/>
      <c r="I6" s="7" t="n"/>
      <c r="J6" s="7" t="n"/>
      <c r="K6" s="7" t="n"/>
      <c r="L6" s="7" t="n"/>
      <c r="M6" s="7" t="n"/>
      <c r="N6" s="7" t="n"/>
      <c r="O6" s="7" t="n"/>
      <c r="P6" s="7" t="n"/>
      <c r="Q6" s="7" t="n"/>
    </row>
    <row r="7">
      <c r="A7" s="3" t="n">
        <v>2030</v>
      </c>
      <c r="B7" s="4" t="n"/>
      <c r="C7" s="5" t="n">
        <v>0.02</v>
      </c>
      <c r="D7" s="5">
        <f>(1+B7)*(1+C7)</f>
        <v/>
      </c>
      <c r="E7" s="6">
        <f>SUM(F7:Q7)</f>
        <v/>
      </c>
      <c r="F7" s="7" t="n"/>
      <c r="G7" s="7" t="n"/>
      <c r="H7" s="7" t="n"/>
      <c r="I7" s="7" t="n"/>
      <c r="J7" s="7" t="n"/>
      <c r="K7" s="7" t="n"/>
      <c r="L7" s="7" t="n"/>
      <c r="M7" s="7" t="n"/>
      <c r="N7" s="7" t="n"/>
      <c r="O7" s="7" t="n"/>
      <c r="P7" s="7" t="n"/>
      <c r="Q7" s="7" t="n"/>
    </row>
    <row r="8">
      <c r="A8" s="3" t="n">
        <v>2031</v>
      </c>
      <c r="B8" s="4" t="n"/>
      <c r="C8" s="5" t="n">
        <v>0.02</v>
      </c>
      <c r="D8" s="5">
        <f>(1+B8)*(1+C8)</f>
        <v/>
      </c>
      <c r="E8" s="6">
        <f>SUM(F8:Q8)</f>
        <v/>
      </c>
      <c r="F8" s="7" t="n"/>
      <c r="G8" s="7" t="n"/>
      <c r="H8" s="7" t="n"/>
      <c r="I8" s="7" t="n"/>
      <c r="J8" s="7" t="n"/>
      <c r="K8" s="7" t="n"/>
      <c r="L8" s="7" t="n"/>
      <c r="M8" s="7" t="n"/>
      <c r="N8" s="7" t="n"/>
      <c r="O8" s="7" t="n"/>
      <c r="P8" s="7" t="n"/>
      <c r="Q8" s="7" t="n"/>
    </row>
    <row r="9">
      <c r="A9" s="3" t="n">
        <v>2032</v>
      </c>
      <c r="B9" s="4" t="n"/>
      <c r="C9" s="5" t="n">
        <v>0.02</v>
      </c>
      <c r="D9" s="5">
        <f>(1+B9)*(1+C9)</f>
        <v/>
      </c>
      <c r="E9" s="6">
        <f>SUM(F9:Q9)</f>
        <v/>
      </c>
      <c r="F9" s="7" t="n"/>
      <c r="G9" s="7" t="n"/>
      <c r="H9" s="7" t="n"/>
      <c r="I9" s="7" t="n"/>
      <c r="J9" s="7" t="n"/>
      <c r="K9" s="7" t="n"/>
      <c r="L9" s="7" t="n"/>
      <c r="M9" s="7" t="n"/>
      <c r="N9" s="7" t="n"/>
      <c r="O9" s="7" t="n"/>
      <c r="P9" s="7" t="n"/>
      <c r="Q9" s="7" t="n"/>
    </row>
    <row r="10">
      <c r="A10" s="3" t="n">
        <v>2033</v>
      </c>
      <c r="B10" s="4" t="n"/>
      <c r="C10" s="5" t="n">
        <v>0.02</v>
      </c>
      <c r="D10" s="5">
        <f>(1+B10)*(1+C10)</f>
        <v/>
      </c>
      <c r="E10" s="6">
        <f>SUM(F10:Q10)</f>
        <v/>
      </c>
      <c r="F10" s="7" t="n"/>
      <c r="G10" s="7" t="n"/>
      <c r="H10" s="7" t="n"/>
      <c r="I10" s="7" t="n"/>
      <c r="J10" s="7" t="n"/>
      <c r="K10" s="7" t="n"/>
      <c r="L10" s="7" t="n"/>
      <c r="M10" s="7" t="n"/>
      <c r="N10" s="7" t="n"/>
      <c r="O10" s="7" t="n"/>
      <c r="P10" s="7" t="n"/>
      <c r="Q10" s="7" t="n"/>
    </row>
    <row r="11">
      <c r="A11" s="3" t="n">
        <v>2034</v>
      </c>
      <c r="B11" s="4" t="n"/>
      <c r="C11" s="5" t="n">
        <v>0.02</v>
      </c>
      <c r="D11" s="5">
        <f>(1+B11)*(1+C11)</f>
        <v/>
      </c>
      <c r="E11" s="6">
        <f>SUM(F11:Q11)</f>
        <v/>
      </c>
      <c r="F11" s="7" t="n"/>
      <c r="G11" s="7" t="n"/>
      <c r="H11" s="7" t="n"/>
      <c r="I11" s="7" t="n"/>
      <c r="J11" s="7" t="n"/>
      <c r="K11" s="7" t="n"/>
      <c r="L11" s="7" t="n"/>
      <c r="M11" s="7" t="n"/>
      <c r="N11" s="7" t="n"/>
      <c r="O11" s="7" t="n"/>
      <c r="P11" s="7" t="n"/>
      <c r="Q11" s="7" t="n"/>
    </row>
    <row r="12">
      <c r="A12" s="3" t="n">
        <v>2035</v>
      </c>
      <c r="B12" s="4" t="n"/>
      <c r="C12" s="5" t="n">
        <v>0.02</v>
      </c>
      <c r="D12" s="5">
        <f>(1+B12)*(1+C12)</f>
        <v/>
      </c>
      <c r="E12" s="6">
        <f>SUM(F12:Q12)</f>
        <v/>
      </c>
      <c r="F12" s="7" t="n"/>
      <c r="G12" s="7" t="n"/>
      <c r="H12" s="7" t="n"/>
      <c r="I12" s="7" t="n"/>
      <c r="J12" s="7" t="n"/>
      <c r="K12" s="7" t="n"/>
      <c r="L12" s="7" t="n"/>
      <c r="M12" s="7" t="n"/>
      <c r="N12" s="7" t="n"/>
      <c r="O12" s="7" t="n"/>
      <c r="P12" s="7" t="n"/>
      <c r="Q12" s="7" t="n"/>
    </row>
    <row r="13"/>
    <row r="14">
      <c r="A14" s="8" t="inlineStr">
        <is>
          <t>Notes: Seed 2026 COLA is set; enter 2027-2035 COLA as it is announced each fall. Log each month's actual TSP -&gt; checking payment in columns F:Q as it is set or changes -- Total Annual Outflows (E) sums automatically. If a payment amount changes mid-year, just overwrite that month's cell going forward.</t>
        </is>
      </c>
    </row>
    <row r="15">
      <c r="A15" s="8" t="inlineStr">
        <is>
          <t>Legend: pale-yellow cells are yours to type into; white cells hold formulas -- please don't overwrite them.</t>
        </is>
      </c>
    </row>
  </sheetData>
  <mergeCells count="1">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0" customWidth="1" min="1" max="1"/>
    <col width="52" customWidth="1" min="2" max="2"/>
    <col width="15" customWidth="1" min="3" max="3"/>
    <col width="17" customWidth="1" min="4" max="4"/>
  </cols>
  <sheetData>
    <row r="1" ht="24" customHeight="1">
      <c r="A1" s="2" t="inlineStr">
        <is>
          <t>Asset Pool</t>
        </is>
      </c>
      <c r="B1" s="2" t="inlineStr">
        <is>
          <t>Custodian / Platform</t>
        </is>
      </c>
      <c r="C1" s="2" t="inlineStr">
        <is>
          <t>Live Balance</t>
        </is>
      </c>
      <c r="D1" s="2" t="inlineStr">
        <is>
          <t>Allocation Mix</t>
        </is>
      </c>
    </row>
    <row r="2">
      <c r="A2" s="9" t="inlineStr">
        <is>
          <t>Your Pre-Tax Account</t>
        </is>
      </c>
      <c r="B2" s="9" t="inlineStr">
        <is>
          <t>TSP G Fund</t>
        </is>
      </c>
      <c r="C2" s="7" t="n">
        <v>100000</v>
      </c>
      <c r="D2" s="5">
        <f>C2/$C$9</f>
        <v/>
      </c>
    </row>
    <row r="3">
      <c r="A3" s="9" t="inlineStr">
        <is>
          <t>Your Conversion Conduit</t>
        </is>
      </c>
      <c r="B3" s="9" t="inlineStr">
        <is>
          <t>Private Traditional IRA</t>
        </is>
      </c>
      <c r="C3" s="7" t="n">
        <v>100000</v>
      </c>
      <c r="D3" s="5">
        <f>C3/$C$9</f>
        <v/>
      </c>
    </row>
    <row r="4">
      <c r="A4" s="9" t="inlineStr">
        <is>
          <t>Your Tax-Free Growth</t>
        </is>
      </c>
      <c r="B4" s="9" t="inlineStr">
        <is>
          <t>Private Roth IRA</t>
        </is>
      </c>
      <c r="C4" s="7" t="n">
        <v>100000</v>
      </c>
      <c r="D4" s="5">
        <f>C4/$C$9</f>
        <v/>
      </c>
    </row>
    <row r="5">
      <c r="A5" s="9" t="inlineStr">
        <is>
          <t>Wife's Tax-Free Growth</t>
        </is>
      </c>
      <c r="B5" s="9" t="inlineStr">
        <is>
          <t>Private Roth IRA</t>
        </is>
      </c>
      <c r="C5" s="7" t="n">
        <v>100000</v>
      </c>
      <c r="D5" s="5">
        <f>C5/$C$9</f>
        <v/>
      </c>
    </row>
    <row r="6">
      <c r="A6" s="9" t="inlineStr">
        <is>
          <t>Wife's Safe Pre-Tax Account</t>
        </is>
      </c>
      <c r="B6" s="9" t="inlineStr">
        <is>
          <t>Current Employer 403b (Active + Reverse Rollover)</t>
        </is>
      </c>
      <c r="C6" s="7" t="n">
        <v>100000</v>
      </c>
      <c r="D6" s="5">
        <f>C6/$C$9</f>
        <v/>
      </c>
    </row>
    <row r="7">
      <c r="A7" s="9" t="inlineStr">
        <is>
          <t>Wife's Conversion Conduit</t>
        </is>
      </c>
      <c r="B7" s="9" t="inlineStr">
        <is>
          <t>Private Traditional IRA</t>
        </is>
      </c>
      <c r="C7" s="7" t="n">
        <v>100000</v>
      </c>
      <c r="D7" s="5">
        <f>C7/$C$9</f>
        <v/>
      </c>
    </row>
    <row r="8">
      <c r="A8" s="9" t="inlineStr">
        <is>
          <t>Short-Term Liquidity</t>
        </is>
      </c>
      <c r="B8" s="9" t="inlineStr">
        <is>
          <t>Merrill Edge Cash Buffer</t>
        </is>
      </c>
      <c r="C8" s="7" t="n">
        <v>100000</v>
      </c>
      <c r="D8" s="5">
        <f>C8/$C$9</f>
        <v/>
      </c>
    </row>
    <row r="9">
      <c r="A9" s="10" t="inlineStr">
        <is>
          <t>Total Household Net Worth</t>
        </is>
      </c>
      <c r="B9" s="10" t="n"/>
      <c r="C9" s="11">
        <f>SUM(C2:C8)</f>
        <v/>
      </c>
      <c r="D9" s="12">
        <f>C9/C9</f>
        <v/>
      </c>
    </row>
    <row r="10">
      <c r="A10" s="8" t="inlineStr">
        <is>
          <t>Note: Live Balance figures are a manually-updated snapshot -- refresh them whenever you check statements, ideally at least quarterly, so Tab 3's projections start from an accurate baseline.</t>
        </is>
      </c>
    </row>
    <row r="11">
      <c r="A11" s="8" t="inlineStr">
        <is>
          <t>Legend: pale-yellow cells are yours to type into; white cells hold formulas -- please don't overwrite them.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showGridLines="1" workbookViewId="0">
      <pane ySplit="7" topLeftCell="A8" activePane="bottomLeft" state="frozen"/>
      <selection pane="bottomLeft" activeCell="A1" sqref="A1"/>
    </sheetView>
  </sheetViews>
  <sheetFormatPr baseColWidth="8" defaultRowHeight="15"/>
  <cols>
    <col width="42" customWidth="1" min="1" max="1"/>
    <col width="14" customWidth="1" min="2" max="2"/>
    <col width="22" customWidth="1" min="3" max="3"/>
    <col width="44" customWidth="1" min="4" max="4"/>
    <col width="22" customWidth="1" min="5" max="5"/>
    <col width="22" customWidth="1" min="6" max="6"/>
    <col width="22" customWidth="1" min="7" max="7"/>
    <col width="22" customWidth="1" min="8" max="8"/>
  </cols>
  <sheetData>
    <row r="1">
      <c r="A1" s="10" t="inlineStr">
        <is>
          <t>Total Current Actual Wealth</t>
        </is>
      </c>
      <c r="B1" s="11">
        <f>'Account_Tracker'!$C$9</f>
        <v/>
      </c>
    </row>
    <row r="2">
      <c r="A2" s="13" t="inlineStr">
        <is>
          <t>Safety Anchor Target % (of Net Worth)</t>
        </is>
      </c>
      <c r="B2" s="14" t="n">
        <v>0.35</v>
      </c>
    </row>
    <row r="3">
      <c r="A3" s="10" t="inlineStr">
        <is>
          <t>Target Safety Anchor Balance ($)</t>
        </is>
      </c>
      <c r="B3" s="11">
        <f>B1*B2</f>
        <v/>
      </c>
    </row>
    <row r="4">
      <c r="A4" s="8" t="inlineStr">
        <is>
          <t>Sequence-of-Returns-Risk (SRR) Shield: the Safety Anchor Target % above controls how large a G Fund cash buffer this engine tries to maintain, so equities are never forced to sell at a loss to fund living expenses. Raise or lower it to fit your risk tolerance.</t>
        </is>
      </c>
    </row>
    <row r="5"/>
    <row r="6" ht="20" customHeight="1">
      <c r="A6" s="1" t="inlineStr">
        <is>
          <t>THE QUARTERLY REFILL ENGINE — PRIMARY OUTPUT: RECOMMENDED TSP TOP-UP TRANSFER</t>
        </is>
      </c>
      <c r="B6" s="1" t="n"/>
      <c r="C6" s="1" t="n"/>
      <c r="D6" s="1" t="n"/>
      <c r="E6" s="1" t="n"/>
      <c r="F6" s="1" t="n"/>
      <c r="G6" s="1" t="n"/>
      <c r="H6" s="1" t="n"/>
    </row>
    <row r="7" ht="40" customHeight="1">
      <c r="A7" s="2" t="inlineStr">
        <is>
          <t>Year</t>
        </is>
      </c>
      <c r="B7" s="2" t="inlineStr">
        <is>
          <t>Quarter</t>
        </is>
      </c>
      <c r="C7" s="2" t="inlineStr">
        <is>
          <t>Quarterly Outflow (W_q)</t>
        </is>
      </c>
      <c r="D7" s="2" t="inlineStr">
        <is>
          <t>Annual Performance Signal</t>
        </is>
      </c>
      <c r="E7" s="2" t="inlineStr">
        <is>
          <t>G Fund Balance (Start of Qtr)</t>
        </is>
      </c>
      <c r="F7" s="2" t="inlineStr">
        <is>
          <t>Recommended Transfer This Quarter</t>
        </is>
      </c>
      <c r="G7" s="2" t="inlineStr">
        <is>
          <t>Actual Transferred (Log It Here)</t>
        </is>
      </c>
      <c r="H7" s="2" t="inlineStr">
        <is>
          <t>G Fund Balance (End of Qtr, Projected)</t>
        </is>
      </c>
    </row>
    <row r="8" ht="28" customHeight="1">
      <c r="A8" s="15" t="n">
        <v>2026</v>
      </c>
      <c r="B8" s="16" t="inlineStr">
        <is>
          <t>Q1</t>
        </is>
      </c>
      <c r="C8" s="17">
        <f>SUM('Variables_And_Log'!F3:H3)</f>
        <v/>
      </c>
      <c r="D8" s="18">
        <f>E52</f>
        <v/>
      </c>
      <c r="E8" s="17">
        <f>'Account_Tracker'!$C$2</f>
        <v/>
      </c>
      <c r="F8" s="19">
        <f>IF(ISNUMBER(SEARCH("GOOD",D8)),MAX(0,$B$3-E8),0)</f>
        <v/>
      </c>
      <c r="G8" s="20" t="n"/>
      <c r="H8" s="17">
        <f>E8-C8+IF(G8="",F8,G8)</f>
        <v/>
      </c>
    </row>
    <row r="9" ht="28" customHeight="1">
      <c r="A9" s="3" t="n">
        <v>2026</v>
      </c>
      <c r="B9" s="9" t="inlineStr">
        <is>
          <t>Q2</t>
        </is>
      </c>
      <c r="C9" s="6">
        <f>SUM('Variables_And_Log'!I3:K3)</f>
        <v/>
      </c>
      <c r="D9" s="21">
        <f>E52</f>
        <v/>
      </c>
      <c r="E9" s="6">
        <f>H8</f>
        <v/>
      </c>
      <c r="F9" s="11">
        <f>IF(ISNUMBER(SEARCH("GOOD",D9)),MAX(0,$B$3-E9),0)</f>
        <v/>
      </c>
      <c r="G9" s="7" t="n"/>
      <c r="H9" s="6">
        <f>E9-C9+IF(G9="",F9,G9)</f>
        <v/>
      </c>
    </row>
    <row r="10" ht="28" customHeight="1">
      <c r="A10" s="3" t="n">
        <v>2026</v>
      </c>
      <c r="B10" s="9" t="inlineStr">
        <is>
          <t>Q3</t>
        </is>
      </c>
      <c r="C10" s="6">
        <f>SUM('Variables_And_Log'!L3:N3)</f>
        <v/>
      </c>
      <c r="D10" s="21">
        <f>E52</f>
        <v/>
      </c>
      <c r="E10" s="6">
        <f>H9</f>
        <v/>
      </c>
      <c r="F10" s="11">
        <f>IF(ISNUMBER(SEARCH("GOOD",D10)),MAX(0,$B$3-E10),0)</f>
        <v/>
      </c>
      <c r="G10" s="7" t="n"/>
      <c r="H10" s="6">
        <f>E10-C10+IF(G10="",F10,G10)</f>
        <v/>
      </c>
    </row>
    <row r="11" ht="28" customHeight="1">
      <c r="A11" s="3" t="n">
        <v>2026</v>
      </c>
      <c r="B11" s="9" t="inlineStr">
        <is>
          <t>Q4</t>
        </is>
      </c>
      <c r="C11" s="6">
        <f>SUM('Variables_And_Log'!O3:Q3)</f>
        <v/>
      </c>
      <c r="D11" s="21">
        <f>E52</f>
        <v/>
      </c>
      <c r="E11" s="6">
        <f>H10</f>
        <v/>
      </c>
      <c r="F11" s="11">
        <f>IF(ISNUMBER(SEARCH("GOOD",D11)),MAX(0,$B$3-E11),0)</f>
        <v/>
      </c>
      <c r="G11" s="7" t="n"/>
      <c r="H11" s="6">
        <f>E11-C11+IF(G11="",F11,G11)</f>
        <v/>
      </c>
    </row>
    <row r="12" ht="28" customHeight="1">
      <c r="A12" s="15" t="n">
        <v>2027</v>
      </c>
      <c r="B12" s="16" t="inlineStr">
        <is>
          <t>Q1</t>
        </is>
      </c>
      <c r="C12" s="17">
        <f>SUM('Variables_And_Log'!F4:H4)</f>
        <v/>
      </c>
      <c r="D12" s="18">
        <f>E53</f>
        <v/>
      </c>
      <c r="E12" s="17">
        <f>H11</f>
        <v/>
      </c>
      <c r="F12" s="19">
        <f>IF(ISNUMBER(SEARCH("GOOD",D12)),MAX(0,$B$3-E12),0)</f>
        <v/>
      </c>
      <c r="G12" s="20" t="n"/>
      <c r="H12" s="17">
        <f>E12-C12+IF(G12="",F12,G12)</f>
        <v/>
      </c>
    </row>
    <row r="13" ht="28" customHeight="1">
      <c r="A13" s="3" t="n">
        <v>2027</v>
      </c>
      <c r="B13" s="9" t="inlineStr">
        <is>
          <t>Q2</t>
        </is>
      </c>
      <c r="C13" s="6">
        <f>SUM('Variables_And_Log'!I4:K4)</f>
        <v/>
      </c>
      <c r="D13" s="21">
        <f>E53</f>
        <v/>
      </c>
      <c r="E13" s="6">
        <f>H12</f>
        <v/>
      </c>
      <c r="F13" s="11">
        <f>IF(ISNUMBER(SEARCH("GOOD",D13)),MAX(0,$B$3-E13),0)</f>
        <v/>
      </c>
      <c r="G13" s="7" t="n"/>
      <c r="H13" s="6">
        <f>E13-C13+IF(G13="",F13,G13)</f>
        <v/>
      </c>
    </row>
    <row r="14" ht="28" customHeight="1">
      <c r="A14" s="3" t="n">
        <v>2027</v>
      </c>
      <c r="B14" s="9" t="inlineStr">
        <is>
          <t>Q3</t>
        </is>
      </c>
      <c r="C14" s="6">
        <f>SUM('Variables_And_Log'!L4:N4)</f>
        <v/>
      </c>
      <c r="D14" s="21">
        <f>E53</f>
        <v/>
      </c>
      <c r="E14" s="6">
        <f>H13</f>
        <v/>
      </c>
      <c r="F14" s="11">
        <f>IF(ISNUMBER(SEARCH("GOOD",D14)),MAX(0,$B$3-E14),0)</f>
        <v/>
      </c>
      <c r="G14" s="7" t="n"/>
      <c r="H14" s="6">
        <f>E14-C14+IF(G14="",F14,G14)</f>
        <v/>
      </c>
    </row>
    <row r="15" ht="28" customHeight="1">
      <c r="A15" s="3" t="n">
        <v>2027</v>
      </c>
      <c r="B15" s="9" t="inlineStr">
        <is>
          <t>Q4</t>
        </is>
      </c>
      <c r="C15" s="6">
        <f>SUM('Variables_And_Log'!O4:Q4)</f>
        <v/>
      </c>
      <c r="D15" s="21">
        <f>E53</f>
        <v/>
      </c>
      <c r="E15" s="6">
        <f>H14</f>
        <v/>
      </c>
      <c r="F15" s="11">
        <f>IF(ISNUMBER(SEARCH("GOOD",D15)),MAX(0,$B$3-E15),0)</f>
        <v/>
      </c>
      <c r="G15" s="7" t="n"/>
      <c r="H15" s="6">
        <f>E15-C15+IF(G15="",F15,G15)</f>
        <v/>
      </c>
    </row>
    <row r="16" ht="28" customHeight="1">
      <c r="A16" s="15" t="n">
        <v>2028</v>
      </c>
      <c r="B16" s="16" t="inlineStr">
        <is>
          <t>Q1</t>
        </is>
      </c>
      <c r="C16" s="17">
        <f>SUM('Variables_And_Log'!F5:H5)</f>
        <v/>
      </c>
      <c r="D16" s="18">
        <f>E54</f>
        <v/>
      </c>
      <c r="E16" s="17">
        <f>H15</f>
        <v/>
      </c>
      <c r="F16" s="19">
        <f>IF(ISNUMBER(SEARCH("GOOD",D16)),MAX(0,$B$3-E16),0)</f>
        <v/>
      </c>
      <c r="G16" s="20" t="n"/>
      <c r="H16" s="17">
        <f>E16-C16+IF(G16="",F16,G16)</f>
        <v/>
      </c>
    </row>
    <row r="17" ht="28" customHeight="1">
      <c r="A17" s="3" t="n">
        <v>2028</v>
      </c>
      <c r="B17" s="9" t="inlineStr">
        <is>
          <t>Q2</t>
        </is>
      </c>
      <c r="C17" s="6">
        <f>SUM('Variables_And_Log'!I5:K5)</f>
        <v/>
      </c>
      <c r="D17" s="21">
        <f>E54</f>
        <v/>
      </c>
      <c r="E17" s="6">
        <f>H16</f>
        <v/>
      </c>
      <c r="F17" s="11">
        <f>IF(ISNUMBER(SEARCH("GOOD",D17)),MAX(0,$B$3-E17),0)</f>
        <v/>
      </c>
      <c r="G17" s="7" t="n"/>
      <c r="H17" s="6">
        <f>E17-C17+IF(G17="",F17,G17)</f>
        <v/>
      </c>
    </row>
    <row r="18" ht="28" customHeight="1">
      <c r="A18" s="3" t="n">
        <v>2028</v>
      </c>
      <c r="B18" s="9" t="inlineStr">
        <is>
          <t>Q3</t>
        </is>
      </c>
      <c r="C18" s="6">
        <f>SUM('Variables_And_Log'!L5:N5)</f>
        <v/>
      </c>
      <c r="D18" s="21">
        <f>E54</f>
        <v/>
      </c>
      <c r="E18" s="6">
        <f>H17</f>
        <v/>
      </c>
      <c r="F18" s="11">
        <f>IF(ISNUMBER(SEARCH("GOOD",D18)),MAX(0,$B$3-E18),0)</f>
        <v/>
      </c>
      <c r="G18" s="7" t="n"/>
      <c r="H18" s="6">
        <f>E18-C18+IF(G18="",F18,G18)</f>
        <v/>
      </c>
    </row>
    <row r="19" ht="28" customHeight="1">
      <c r="A19" s="3" t="n">
        <v>2028</v>
      </c>
      <c r="B19" s="9" t="inlineStr">
        <is>
          <t>Q4</t>
        </is>
      </c>
      <c r="C19" s="6">
        <f>SUM('Variables_And_Log'!O5:Q5)</f>
        <v/>
      </c>
      <c r="D19" s="21">
        <f>E54</f>
        <v/>
      </c>
      <c r="E19" s="6">
        <f>H18</f>
        <v/>
      </c>
      <c r="F19" s="11">
        <f>IF(ISNUMBER(SEARCH("GOOD",D19)),MAX(0,$B$3-E19),0)</f>
        <v/>
      </c>
      <c r="G19" s="7" t="n"/>
      <c r="H19" s="6">
        <f>E19-C19+IF(G19="",F19,G19)</f>
        <v/>
      </c>
    </row>
    <row r="20" ht="28" customHeight="1">
      <c r="A20" s="15" t="n">
        <v>2029</v>
      </c>
      <c r="B20" s="16" t="inlineStr">
        <is>
          <t>Q1</t>
        </is>
      </c>
      <c r="C20" s="17">
        <f>SUM('Variables_And_Log'!F6:H6)</f>
        <v/>
      </c>
      <c r="D20" s="18">
        <f>E55</f>
        <v/>
      </c>
      <c r="E20" s="17">
        <f>H19</f>
        <v/>
      </c>
      <c r="F20" s="19">
        <f>IF(ISNUMBER(SEARCH("GOOD",D20)),MAX(0,$B$3-E20),0)</f>
        <v/>
      </c>
      <c r="G20" s="20" t="n"/>
      <c r="H20" s="17">
        <f>E20-C20+IF(G20="",F20,G20)</f>
        <v/>
      </c>
    </row>
    <row r="21" ht="28" customHeight="1">
      <c r="A21" s="3" t="n">
        <v>2029</v>
      </c>
      <c r="B21" s="9" t="inlineStr">
        <is>
          <t>Q2</t>
        </is>
      </c>
      <c r="C21" s="6">
        <f>SUM('Variables_And_Log'!I6:K6)</f>
        <v/>
      </c>
      <c r="D21" s="21">
        <f>E55</f>
        <v/>
      </c>
      <c r="E21" s="6">
        <f>H20</f>
        <v/>
      </c>
      <c r="F21" s="11">
        <f>IF(ISNUMBER(SEARCH("GOOD",D21)),MAX(0,$B$3-E21),0)</f>
        <v/>
      </c>
      <c r="G21" s="7" t="n"/>
      <c r="H21" s="6">
        <f>E21-C21+IF(G21="",F21,G21)</f>
        <v/>
      </c>
    </row>
    <row r="22" ht="28" customHeight="1">
      <c r="A22" s="3" t="n">
        <v>2029</v>
      </c>
      <c r="B22" s="9" t="inlineStr">
        <is>
          <t>Q3</t>
        </is>
      </c>
      <c r="C22" s="6">
        <f>SUM('Variables_And_Log'!L6:N6)</f>
        <v/>
      </c>
      <c r="D22" s="21">
        <f>E55</f>
        <v/>
      </c>
      <c r="E22" s="6">
        <f>H21</f>
        <v/>
      </c>
      <c r="F22" s="11">
        <f>IF(ISNUMBER(SEARCH("GOOD",D22)),MAX(0,$B$3-E22),0)</f>
        <v/>
      </c>
      <c r="G22" s="7" t="n"/>
      <c r="H22" s="6">
        <f>E22-C22+IF(G22="",F22,G22)</f>
        <v/>
      </c>
    </row>
    <row r="23" ht="28" customHeight="1">
      <c r="A23" s="3" t="n">
        <v>2029</v>
      </c>
      <c r="B23" s="9" t="inlineStr">
        <is>
          <t>Q4</t>
        </is>
      </c>
      <c r="C23" s="6">
        <f>SUM('Variables_And_Log'!O6:Q6)</f>
        <v/>
      </c>
      <c r="D23" s="21">
        <f>E55</f>
        <v/>
      </c>
      <c r="E23" s="6">
        <f>H22</f>
        <v/>
      </c>
      <c r="F23" s="11">
        <f>IF(ISNUMBER(SEARCH("GOOD",D23)),MAX(0,$B$3-E23),0)</f>
        <v/>
      </c>
      <c r="G23" s="7" t="n"/>
      <c r="H23" s="6">
        <f>E23-C23+IF(G23="",F23,G23)</f>
        <v/>
      </c>
    </row>
    <row r="24" ht="28" customHeight="1">
      <c r="A24" s="15" t="n">
        <v>2030</v>
      </c>
      <c r="B24" s="16" t="inlineStr">
        <is>
          <t>Q1</t>
        </is>
      </c>
      <c r="C24" s="17">
        <f>SUM('Variables_And_Log'!F7:H7)</f>
        <v/>
      </c>
      <c r="D24" s="18">
        <f>E56</f>
        <v/>
      </c>
      <c r="E24" s="17">
        <f>H23</f>
        <v/>
      </c>
      <c r="F24" s="19">
        <f>IF(ISNUMBER(SEARCH("GOOD",D24)),MAX(0,$B$3-E24),0)</f>
        <v/>
      </c>
      <c r="G24" s="20" t="n"/>
      <c r="H24" s="17">
        <f>E24-C24+IF(G24="",F24,G24)</f>
        <v/>
      </c>
    </row>
    <row r="25" ht="28" customHeight="1">
      <c r="A25" s="3" t="n">
        <v>2030</v>
      </c>
      <c r="B25" s="9" t="inlineStr">
        <is>
          <t>Q2</t>
        </is>
      </c>
      <c r="C25" s="6">
        <f>SUM('Variables_And_Log'!I7:K7)</f>
        <v/>
      </c>
      <c r="D25" s="21">
        <f>E56</f>
        <v/>
      </c>
      <c r="E25" s="6">
        <f>H24</f>
        <v/>
      </c>
      <c r="F25" s="11">
        <f>IF(ISNUMBER(SEARCH("GOOD",D25)),MAX(0,$B$3-E25),0)</f>
        <v/>
      </c>
      <c r="G25" s="7" t="n"/>
      <c r="H25" s="6">
        <f>E25-C25+IF(G25="",F25,G25)</f>
        <v/>
      </c>
    </row>
    <row r="26" ht="28" customHeight="1">
      <c r="A26" s="3" t="n">
        <v>2030</v>
      </c>
      <c r="B26" s="9" t="inlineStr">
        <is>
          <t>Q3</t>
        </is>
      </c>
      <c r="C26" s="6">
        <f>SUM('Variables_And_Log'!L7:N7)</f>
        <v/>
      </c>
      <c r="D26" s="21">
        <f>E56</f>
        <v/>
      </c>
      <c r="E26" s="6">
        <f>H25</f>
        <v/>
      </c>
      <c r="F26" s="11">
        <f>IF(ISNUMBER(SEARCH("GOOD",D26)),MAX(0,$B$3-E26),0)</f>
        <v/>
      </c>
      <c r="G26" s="7" t="n"/>
      <c r="H26" s="6">
        <f>E26-C26+IF(G26="",F26,G26)</f>
        <v/>
      </c>
    </row>
    <row r="27" ht="28" customHeight="1">
      <c r="A27" s="3" t="n">
        <v>2030</v>
      </c>
      <c r="B27" s="9" t="inlineStr">
        <is>
          <t>Q4</t>
        </is>
      </c>
      <c r="C27" s="6">
        <f>SUM('Variables_And_Log'!O7:Q7)</f>
        <v/>
      </c>
      <c r="D27" s="21">
        <f>E56</f>
        <v/>
      </c>
      <c r="E27" s="6">
        <f>H26</f>
        <v/>
      </c>
      <c r="F27" s="11">
        <f>IF(ISNUMBER(SEARCH("GOOD",D27)),MAX(0,$B$3-E27),0)</f>
        <v/>
      </c>
      <c r="G27" s="7" t="n"/>
      <c r="H27" s="6">
        <f>E27-C27+IF(G27="",F27,G27)</f>
        <v/>
      </c>
    </row>
    <row r="28" ht="28" customHeight="1">
      <c r="A28" s="15" t="n">
        <v>2031</v>
      </c>
      <c r="B28" s="16" t="inlineStr">
        <is>
          <t>Q1</t>
        </is>
      </c>
      <c r="C28" s="17">
        <f>SUM('Variables_And_Log'!F8:H8)</f>
        <v/>
      </c>
      <c r="D28" s="18">
        <f>E57</f>
        <v/>
      </c>
      <c r="E28" s="17">
        <f>H27</f>
        <v/>
      </c>
      <c r="F28" s="19">
        <f>IF(ISNUMBER(SEARCH("GOOD",D28)),MAX(0,$B$3-E28),0)</f>
        <v/>
      </c>
      <c r="G28" s="20" t="n"/>
      <c r="H28" s="17">
        <f>E28-C28+IF(G28="",F28,G28)</f>
        <v/>
      </c>
    </row>
    <row r="29" ht="28" customHeight="1">
      <c r="A29" s="3" t="n">
        <v>2031</v>
      </c>
      <c r="B29" s="9" t="inlineStr">
        <is>
          <t>Q2</t>
        </is>
      </c>
      <c r="C29" s="6">
        <f>SUM('Variables_And_Log'!I8:K8)</f>
        <v/>
      </c>
      <c r="D29" s="21">
        <f>E57</f>
        <v/>
      </c>
      <c r="E29" s="6">
        <f>H28</f>
        <v/>
      </c>
      <c r="F29" s="11">
        <f>IF(ISNUMBER(SEARCH("GOOD",D29)),MAX(0,$B$3-E29),0)</f>
        <v/>
      </c>
      <c r="G29" s="7" t="n"/>
      <c r="H29" s="6">
        <f>E29-C29+IF(G29="",F29,G29)</f>
        <v/>
      </c>
    </row>
    <row r="30" ht="28" customHeight="1">
      <c r="A30" s="3" t="n">
        <v>2031</v>
      </c>
      <c r="B30" s="9" t="inlineStr">
        <is>
          <t>Q3</t>
        </is>
      </c>
      <c r="C30" s="6">
        <f>SUM('Variables_And_Log'!L8:N8)</f>
        <v/>
      </c>
      <c r="D30" s="21">
        <f>E57</f>
        <v/>
      </c>
      <c r="E30" s="6">
        <f>H29</f>
        <v/>
      </c>
      <c r="F30" s="11">
        <f>IF(ISNUMBER(SEARCH("GOOD",D30)),MAX(0,$B$3-E30),0)</f>
        <v/>
      </c>
      <c r="G30" s="7" t="n"/>
      <c r="H30" s="6">
        <f>E30-C30+IF(G30="",F30,G30)</f>
        <v/>
      </c>
    </row>
    <row r="31" ht="28" customHeight="1">
      <c r="A31" s="3" t="n">
        <v>2031</v>
      </c>
      <c r="B31" s="9" t="inlineStr">
        <is>
          <t>Q4</t>
        </is>
      </c>
      <c r="C31" s="6">
        <f>SUM('Variables_And_Log'!O8:Q8)</f>
        <v/>
      </c>
      <c r="D31" s="21">
        <f>E57</f>
        <v/>
      </c>
      <c r="E31" s="6">
        <f>H30</f>
        <v/>
      </c>
      <c r="F31" s="11">
        <f>IF(ISNUMBER(SEARCH("GOOD",D31)),MAX(0,$B$3-E31),0)</f>
        <v/>
      </c>
      <c r="G31" s="7" t="n"/>
      <c r="H31" s="6">
        <f>E31-C31+IF(G31="",F31,G31)</f>
        <v/>
      </c>
    </row>
    <row r="32" ht="28" customHeight="1">
      <c r="A32" s="15" t="n">
        <v>2032</v>
      </c>
      <c r="B32" s="16" t="inlineStr">
        <is>
          <t>Q1</t>
        </is>
      </c>
      <c r="C32" s="17">
        <f>SUM('Variables_And_Log'!F9:H9)</f>
        <v/>
      </c>
      <c r="D32" s="18">
        <f>E58</f>
        <v/>
      </c>
      <c r="E32" s="17">
        <f>H31</f>
        <v/>
      </c>
      <c r="F32" s="19">
        <f>IF(ISNUMBER(SEARCH("GOOD",D32)),MAX(0,$B$3-E32),0)</f>
        <v/>
      </c>
      <c r="G32" s="20" t="n"/>
      <c r="H32" s="17">
        <f>E32-C32+IF(G32="",F32,G32)</f>
        <v/>
      </c>
    </row>
    <row r="33" ht="28" customHeight="1">
      <c r="A33" s="3" t="n">
        <v>2032</v>
      </c>
      <c r="B33" s="9" t="inlineStr">
        <is>
          <t>Q2</t>
        </is>
      </c>
      <c r="C33" s="6">
        <f>SUM('Variables_And_Log'!I9:K9)</f>
        <v/>
      </c>
      <c r="D33" s="21">
        <f>E58</f>
        <v/>
      </c>
      <c r="E33" s="6">
        <f>H32</f>
        <v/>
      </c>
      <c r="F33" s="11">
        <f>IF(ISNUMBER(SEARCH("GOOD",D33)),MAX(0,$B$3-E33),0)</f>
        <v/>
      </c>
      <c r="G33" s="7" t="n"/>
      <c r="H33" s="6">
        <f>E33-C33+IF(G33="",F33,G33)</f>
        <v/>
      </c>
    </row>
    <row r="34" ht="28" customHeight="1">
      <c r="A34" s="3" t="n">
        <v>2032</v>
      </c>
      <c r="B34" s="9" t="inlineStr">
        <is>
          <t>Q3</t>
        </is>
      </c>
      <c r="C34" s="6">
        <f>SUM('Variables_And_Log'!L9:N9)</f>
        <v/>
      </c>
      <c r="D34" s="21">
        <f>E58</f>
        <v/>
      </c>
      <c r="E34" s="6">
        <f>H33</f>
        <v/>
      </c>
      <c r="F34" s="11">
        <f>IF(ISNUMBER(SEARCH("GOOD",D34)),MAX(0,$B$3-E34),0)</f>
        <v/>
      </c>
      <c r="G34" s="7" t="n"/>
      <c r="H34" s="6">
        <f>E34-C34+IF(G34="",F34,G34)</f>
        <v/>
      </c>
    </row>
    <row r="35" ht="28" customHeight="1">
      <c r="A35" s="3" t="n">
        <v>2032</v>
      </c>
      <c r="B35" s="9" t="inlineStr">
        <is>
          <t>Q4</t>
        </is>
      </c>
      <c r="C35" s="6">
        <f>SUM('Variables_And_Log'!O9:Q9)</f>
        <v/>
      </c>
      <c r="D35" s="21">
        <f>E58</f>
        <v/>
      </c>
      <c r="E35" s="6">
        <f>H34</f>
        <v/>
      </c>
      <c r="F35" s="11">
        <f>IF(ISNUMBER(SEARCH("GOOD",D35)),MAX(0,$B$3-E35),0)</f>
        <v/>
      </c>
      <c r="G35" s="7" t="n"/>
      <c r="H35" s="6">
        <f>E35-C35+IF(G35="",F35,G35)</f>
        <v/>
      </c>
    </row>
    <row r="36" ht="28" customHeight="1">
      <c r="A36" s="15" t="n">
        <v>2033</v>
      </c>
      <c r="B36" s="16" t="inlineStr">
        <is>
          <t>Q1</t>
        </is>
      </c>
      <c r="C36" s="17">
        <f>SUM('Variables_And_Log'!F10:H10)</f>
        <v/>
      </c>
      <c r="D36" s="18">
        <f>E59</f>
        <v/>
      </c>
      <c r="E36" s="17">
        <f>H35</f>
        <v/>
      </c>
      <c r="F36" s="19">
        <f>IF(ISNUMBER(SEARCH("GOOD",D36)),MAX(0,$B$3-E36),0)</f>
        <v/>
      </c>
      <c r="G36" s="20" t="n"/>
      <c r="H36" s="17">
        <f>E36-C36+IF(G36="",F36,G36)</f>
        <v/>
      </c>
    </row>
    <row r="37" ht="28" customHeight="1">
      <c r="A37" s="3" t="n">
        <v>2033</v>
      </c>
      <c r="B37" s="9" t="inlineStr">
        <is>
          <t>Q2</t>
        </is>
      </c>
      <c r="C37" s="6">
        <f>SUM('Variables_And_Log'!I10:K10)</f>
        <v/>
      </c>
      <c r="D37" s="21">
        <f>E59</f>
        <v/>
      </c>
      <c r="E37" s="6">
        <f>H36</f>
        <v/>
      </c>
      <c r="F37" s="11">
        <f>IF(ISNUMBER(SEARCH("GOOD",D37)),MAX(0,$B$3-E37),0)</f>
        <v/>
      </c>
      <c r="G37" s="7" t="n"/>
      <c r="H37" s="6">
        <f>E37-C37+IF(G37="",F37,G37)</f>
        <v/>
      </c>
    </row>
    <row r="38" ht="28" customHeight="1">
      <c r="A38" s="3" t="n">
        <v>2033</v>
      </c>
      <c r="B38" s="9" t="inlineStr">
        <is>
          <t>Q3</t>
        </is>
      </c>
      <c r="C38" s="6">
        <f>SUM('Variables_And_Log'!L10:N10)</f>
        <v/>
      </c>
      <c r="D38" s="21">
        <f>E59</f>
        <v/>
      </c>
      <c r="E38" s="6">
        <f>H37</f>
        <v/>
      </c>
      <c r="F38" s="11">
        <f>IF(ISNUMBER(SEARCH("GOOD",D38)),MAX(0,$B$3-E38),0)</f>
        <v/>
      </c>
      <c r="G38" s="7" t="n"/>
      <c r="H38" s="6">
        <f>E38-C38+IF(G38="",F38,G38)</f>
        <v/>
      </c>
    </row>
    <row r="39" ht="28" customHeight="1">
      <c r="A39" s="3" t="n">
        <v>2033</v>
      </c>
      <c r="B39" s="9" t="inlineStr">
        <is>
          <t>Q4</t>
        </is>
      </c>
      <c r="C39" s="6">
        <f>SUM('Variables_And_Log'!O10:Q10)</f>
        <v/>
      </c>
      <c r="D39" s="21">
        <f>E59</f>
        <v/>
      </c>
      <c r="E39" s="6">
        <f>H38</f>
        <v/>
      </c>
      <c r="F39" s="11">
        <f>IF(ISNUMBER(SEARCH("GOOD",D39)),MAX(0,$B$3-E39),0)</f>
        <v/>
      </c>
      <c r="G39" s="7" t="n"/>
      <c r="H39" s="6">
        <f>E39-C39+IF(G39="",F39,G39)</f>
        <v/>
      </c>
    </row>
    <row r="40" ht="28" customHeight="1">
      <c r="A40" s="15" t="n">
        <v>2034</v>
      </c>
      <c r="B40" s="16" t="inlineStr">
        <is>
          <t>Q1</t>
        </is>
      </c>
      <c r="C40" s="17">
        <f>SUM('Variables_And_Log'!F11:H11)</f>
        <v/>
      </c>
      <c r="D40" s="18">
        <f>E60</f>
        <v/>
      </c>
      <c r="E40" s="17">
        <f>H39</f>
        <v/>
      </c>
      <c r="F40" s="19">
        <f>IF(ISNUMBER(SEARCH("GOOD",D40)),MAX(0,$B$3-E40),0)</f>
        <v/>
      </c>
      <c r="G40" s="20" t="n"/>
      <c r="H40" s="17">
        <f>E40-C40+IF(G40="",F40,G40)</f>
        <v/>
      </c>
    </row>
    <row r="41" ht="28" customHeight="1">
      <c r="A41" s="3" t="n">
        <v>2034</v>
      </c>
      <c r="B41" s="9" t="inlineStr">
        <is>
          <t>Q2</t>
        </is>
      </c>
      <c r="C41" s="6">
        <f>SUM('Variables_And_Log'!I11:K11)</f>
        <v/>
      </c>
      <c r="D41" s="21">
        <f>E60</f>
        <v/>
      </c>
      <c r="E41" s="6">
        <f>H40</f>
        <v/>
      </c>
      <c r="F41" s="11">
        <f>IF(ISNUMBER(SEARCH("GOOD",D41)),MAX(0,$B$3-E41),0)</f>
        <v/>
      </c>
      <c r="G41" s="7" t="n"/>
      <c r="H41" s="6">
        <f>E41-C41+IF(G41="",F41,G41)</f>
        <v/>
      </c>
    </row>
    <row r="42" ht="28" customHeight="1">
      <c r="A42" s="3" t="n">
        <v>2034</v>
      </c>
      <c r="B42" s="9" t="inlineStr">
        <is>
          <t>Q3</t>
        </is>
      </c>
      <c r="C42" s="6">
        <f>SUM('Variables_And_Log'!L11:N11)</f>
        <v/>
      </c>
      <c r="D42" s="21">
        <f>E60</f>
        <v/>
      </c>
      <c r="E42" s="6">
        <f>H41</f>
        <v/>
      </c>
      <c r="F42" s="11">
        <f>IF(ISNUMBER(SEARCH("GOOD",D42)),MAX(0,$B$3-E42),0)</f>
        <v/>
      </c>
      <c r="G42" s="7" t="n"/>
      <c r="H42" s="6">
        <f>E42-C42+IF(G42="",F42,G42)</f>
        <v/>
      </c>
    </row>
    <row r="43" ht="28" customHeight="1">
      <c r="A43" s="3" t="n">
        <v>2034</v>
      </c>
      <c r="B43" s="9" t="inlineStr">
        <is>
          <t>Q4</t>
        </is>
      </c>
      <c r="C43" s="6">
        <f>SUM('Variables_And_Log'!O11:Q11)</f>
        <v/>
      </c>
      <c r="D43" s="21">
        <f>E60</f>
        <v/>
      </c>
      <c r="E43" s="6">
        <f>H42</f>
        <v/>
      </c>
      <c r="F43" s="11">
        <f>IF(ISNUMBER(SEARCH("GOOD",D43)),MAX(0,$B$3-E43),0)</f>
        <v/>
      </c>
      <c r="G43" s="7" t="n"/>
      <c r="H43" s="6">
        <f>E43-C43+IF(G43="",F43,G43)</f>
        <v/>
      </c>
    </row>
    <row r="44" ht="28" customHeight="1">
      <c r="A44" s="15" t="n">
        <v>2035</v>
      </c>
      <c r="B44" s="16" t="inlineStr">
        <is>
          <t>Q1</t>
        </is>
      </c>
      <c r="C44" s="17">
        <f>SUM('Variables_And_Log'!F12:H12)</f>
        <v/>
      </c>
      <c r="D44" s="18">
        <f>E61</f>
        <v/>
      </c>
      <c r="E44" s="17">
        <f>H43</f>
        <v/>
      </c>
      <c r="F44" s="19">
        <f>IF(ISNUMBER(SEARCH("GOOD",D44)),MAX(0,$B$3-E44),0)</f>
        <v/>
      </c>
      <c r="G44" s="20" t="n"/>
      <c r="H44" s="17">
        <f>E44-C44+IF(G44="",F44,G44)</f>
        <v/>
      </c>
    </row>
    <row r="45" ht="28" customHeight="1">
      <c r="A45" s="3" t="n">
        <v>2035</v>
      </c>
      <c r="B45" s="9" t="inlineStr">
        <is>
          <t>Q2</t>
        </is>
      </c>
      <c r="C45" s="6">
        <f>SUM('Variables_And_Log'!I12:K12)</f>
        <v/>
      </c>
      <c r="D45" s="21">
        <f>E61</f>
        <v/>
      </c>
      <c r="E45" s="6">
        <f>H44</f>
        <v/>
      </c>
      <c r="F45" s="11">
        <f>IF(ISNUMBER(SEARCH("GOOD",D45)),MAX(0,$B$3-E45),0)</f>
        <v/>
      </c>
      <c r="G45" s="7" t="n"/>
      <c r="H45" s="6">
        <f>E45-C45+IF(G45="",F45,G45)</f>
        <v/>
      </c>
    </row>
    <row r="46" ht="28" customHeight="1">
      <c r="A46" s="3" t="n">
        <v>2035</v>
      </c>
      <c r="B46" s="9" t="inlineStr">
        <is>
          <t>Q3</t>
        </is>
      </c>
      <c r="C46" s="6">
        <f>SUM('Variables_And_Log'!L12:N12)</f>
        <v/>
      </c>
      <c r="D46" s="21">
        <f>E61</f>
        <v/>
      </c>
      <c r="E46" s="6">
        <f>H45</f>
        <v/>
      </c>
      <c r="F46" s="11">
        <f>IF(ISNUMBER(SEARCH("GOOD",D46)),MAX(0,$B$3-E46),0)</f>
        <v/>
      </c>
      <c r="G46" s="7" t="n"/>
      <c r="H46" s="6">
        <f>E46-C46+IF(G46="",F46,G46)</f>
        <v/>
      </c>
    </row>
    <row r="47" ht="28" customHeight="1">
      <c r="A47" s="3" t="n">
        <v>2035</v>
      </c>
      <c r="B47" s="9" t="inlineStr">
        <is>
          <t>Q4</t>
        </is>
      </c>
      <c r="C47" s="6">
        <f>SUM('Variables_And_Log'!O12:Q12)</f>
        <v/>
      </c>
      <c r="D47" s="21">
        <f>E61</f>
        <v/>
      </c>
      <c r="E47" s="6">
        <f>H46</f>
        <v/>
      </c>
      <c r="F47" s="11">
        <f>IF(ISNUMBER(SEARCH("GOOD",D47)),MAX(0,$B$3-E47),0)</f>
        <v/>
      </c>
      <c r="G47" s="7" t="n"/>
      <c r="H47" s="6">
        <f>E47-C47+IF(G47="",F47,G47)</f>
        <v/>
      </c>
    </row>
    <row r="48"/>
    <row r="49"/>
    <row r="50" ht="20" customHeight="1">
      <c r="A50" s="1" t="inlineStr">
        <is>
          <t>ANNUAL SRR HURDLE MODEL — STRATEGIC PACING CHECK (GATES THE QUARTERLY REFILL ABOVE)</t>
        </is>
      </c>
      <c r="B50" s="1" t="n"/>
      <c r="C50" s="1" t="n"/>
      <c r="D50" s="1" t="n"/>
      <c r="E50" s="1" t="n"/>
    </row>
    <row r="51" ht="32" customHeight="1">
      <c r="A51" s="2" t="inlineStr">
        <is>
          <t>Year</t>
        </is>
      </c>
      <c r="B51" s="2" t="inlineStr">
        <is>
          <t>Total Annual Hurdle Rate</t>
        </is>
      </c>
      <c r="C51" s="2" t="inlineStr">
        <is>
          <t>Annual Outflows (W_t)</t>
        </is>
      </c>
      <c r="D51" s="2" t="inlineStr">
        <is>
          <t>Simulated Target Portfolio (P_track)</t>
        </is>
      </c>
      <c r="E51" s="2" t="inlineStr">
        <is>
          <t>Performance Logic Trigger</t>
        </is>
      </c>
    </row>
    <row r="52" ht="28" customHeight="1">
      <c r="A52" s="3" t="n">
        <v>2026</v>
      </c>
      <c r="B52" s="5">
        <f>'Variables_And_Log'!D3</f>
        <v/>
      </c>
      <c r="C52" s="6">
        <f>'Variables_And_Log'!E3</f>
        <v/>
      </c>
      <c r="D52" s="6">
        <f>ROUND(($B$1*B52)-C52,2)</f>
        <v/>
      </c>
      <c r="E52" s="21">
        <f>IF(B$1&gt;=D52,"✅ GOOD: Execute T2065 Rebalance &amp; Rollover to TSP","⚠️ POOR: Freeze Equities. Draw Down G Fund")</f>
        <v/>
      </c>
    </row>
    <row r="53" ht="28" customHeight="1">
      <c r="A53" s="3" t="n">
        <v>2027</v>
      </c>
      <c r="B53" s="5">
        <f>'Variables_And_Log'!D4</f>
        <v/>
      </c>
      <c r="C53" s="6">
        <f>'Variables_And_Log'!E4</f>
        <v/>
      </c>
      <c r="D53" s="6">
        <f>ROUND((D52*B53)-C53,2)</f>
        <v/>
      </c>
      <c r="E53" s="21">
        <f>IF(B$1&gt;=D53,"✅ GOOD: Execute T2065 Rebalance &amp; Rollover to TSP","⚠️ POOR: Freeze Equities. Draw Down G Fund")</f>
        <v/>
      </c>
    </row>
    <row r="54" ht="28" customHeight="1">
      <c r="A54" s="3" t="n">
        <v>2028</v>
      </c>
      <c r="B54" s="5">
        <f>'Variables_And_Log'!D5</f>
        <v/>
      </c>
      <c r="C54" s="6">
        <f>'Variables_And_Log'!E5</f>
        <v/>
      </c>
      <c r="D54" s="6">
        <f>ROUND((D53*B54)-C54,2)</f>
        <v/>
      </c>
      <c r="E54" s="21">
        <f>IF(B$1&gt;=D54,"✅ GOOD: Execute T2065 Rebalance &amp; Rollover to TSP","⚠️ POOR: Freeze Equities. Draw Down G Fund")</f>
        <v/>
      </c>
    </row>
    <row r="55" ht="28" customHeight="1">
      <c r="A55" s="3" t="n">
        <v>2029</v>
      </c>
      <c r="B55" s="5">
        <f>'Variables_And_Log'!D6</f>
        <v/>
      </c>
      <c r="C55" s="6">
        <f>'Variables_And_Log'!E6</f>
        <v/>
      </c>
      <c r="D55" s="6">
        <f>ROUND((D54*B55)-C55,2)</f>
        <v/>
      </c>
      <c r="E55" s="21">
        <f>IF(B$1&gt;=D55,"✅ GOOD: Execute T2065 Rebalance &amp; Rollover to TSP","⚠️ POOR: Freeze Equities. Draw Down G Fund")</f>
        <v/>
      </c>
    </row>
    <row r="56" ht="28" customHeight="1">
      <c r="A56" s="3" t="n">
        <v>2030</v>
      </c>
      <c r="B56" s="5">
        <f>'Variables_And_Log'!D7</f>
        <v/>
      </c>
      <c r="C56" s="6">
        <f>'Variables_And_Log'!E7</f>
        <v/>
      </c>
      <c r="D56" s="6">
        <f>ROUND((D55*B56)-C56,2)</f>
        <v/>
      </c>
      <c r="E56" s="21">
        <f>IF(B$1&gt;=D56,"✅ GOOD: Execute T2065 Rebalance &amp; Rollover to TSP","⚠️ POOR: Freeze Equities. Draw Down G Fund")</f>
        <v/>
      </c>
    </row>
    <row r="57" ht="28" customHeight="1">
      <c r="A57" s="3" t="n">
        <v>2031</v>
      </c>
      <c r="B57" s="5">
        <f>'Variables_And_Log'!D8</f>
        <v/>
      </c>
      <c r="C57" s="6">
        <f>'Variables_And_Log'!E8</f>
        <v/>
      </c>
      <c r="D57" s="6">
        <f>ROUND((D56*B57)-C57,2)</f>
        <v/>
      </c>
      <c r="E57" s="21">
        <f>IF(B$1&gt;=D57,"✅ GOOD: Execute T2065 Rebalance &amp; Rollover to TSP","⚠️ POOR: Freeze Equities. Draw Down G Fund")</f>
        <v/>
      </c>
    </row>
    <row r="58" ht="28" customHeight="1">
      <c r="A58" s="3" t="n">
        <v>2032</v>
      </c>
      <c r="B58" s="5">
        <f>'Variables_And_Log'!D9</f>
        <v/>
      </c>
      <c r="C58" s="6">
        <f>'Variables_And_Log'!E9</f>
        <v/>
      </c>
      <c r="D58" s="6">
        <f>ROUND((D57*B58)-C58,2)</f>
        <v/>
      </c>
      <c r="E58" s="21">
        <f>IF(B$1&gt;=D58,"✅ GOOD: Execute T2065 Rebalance &amp; Rollover to TSP","⚠️ POOR: Freeze Equities. Draw Down G Fund")</f>
        <v/>
      </c>
    </row>
    <row r="59" ht="28" customHeight="1">
      <c r="A59" s="3" t="n">
        <v>2033</v>
      </c>
      <c r="B59" s="5">
        <f>'Variables_And_Log'!D10</f>
        <v/>
      </c>
      <c r="C59" s="6">
        <f>'Variables_And_Log'!E10</f>
        <v/>
      </c>
      <c r="D59" s="6">
        <f>ROUND((D58*B59)-C59,2)</f>
        <v/>
      </c>
      <c r="E59" s="21">
        <f>IF(B$1&gt;=D59,"✅ GOOD: Execute T2065 Rebalance &amp; Rollover to TSP","⚠️ POOR: Freeze Equities. Draw Down G Fund")</f>
        <v/>
      </c>
    </row>
    <row r="60" ht="28" customHeight="1">
      <c r="A60" s="3" t="n">
        <v>2034</v>
      </c>
      <c r="B60" s="5">
        <f>'Variables_And_Log'!D11</f>
        <v/>
      </c>
      <c r="C60" s="6">
        <f>'Variables_And_Log'!E11</f>
        <v/>
      </c>
      <c r="D60" s="6">
        <f>ROUND((D59*B60)-C60,2)</f>
        <v/>
      </c>
      <c r="E60" s="21">
        <f>IF(B$1&gt;=D60,"✅ GOOD: Execute T2065 Rebalance &amp; Rollover to TSP","⚠️ POOR: Freeze Equities. Draw Down G Fund")</f>
        <v/>
      </c>
    </row>
    <row r="61" ht="28" customHeight="1">
      <c r="A61" s="3" t="n">
        <v>2035</v>
      </c>
      <c r="B61" s="5">
        <f>'Variables_And_Log'!D12</f>
        <v/>
      </c>
      <c r="C61" s="6">
        <f>'Variables_And_Log'!E12</f>
        <v/>
      </c>
      <c r="D61" s="6">
        <f>ROUND((D60*B61)-C61,2)</f>
        <v/>
      </c>
      <c r="E61" s="21">
        <f>IF(B$1&gt;=D61,"✅ GOOD: Execute T2065 Rebalance &amp; Rollover to TSP","⚠️ POOR: Freeze Equities. Draw Down G Fund")</f>
        <v/>
      </c>
    </row>
    <row r="62"/>
    <row r="63">
      <c r="A63" s="1" t="inlineStr">
        <is>
          <t>EXTRA CAPACITY INDICATORS</t>
        </is>
      </c>
      <c r="B63" s="1" t="n"/>
      <c r="C63" s="1" t="n"/>
    </row>
    <row r="64">
      <c r="A64" s="13" t="inlineStr">
        <is>
          <t>Your Pre-Tax Rollover Conduit Capacity</t>
        </is>
      </c>
      <c r="B64" s="6">
        <f>'Account_Tracker'!$C$3</f>
        <v/>
      </c>
      <c r="C64" s="10">
        <f>IF(B64&gt;0,"Conduit Open","Conduit Closed")</f>
        <v/>
      </c>
    </row>
    <row r="65"/>
    <row r="66">
      <c r="A66" s="13" t="inlineStr">
        <is>
          <t>TSP Cash Buffer Runway (Months)</t>
        </is>
      </c>
      <c r="B66" s="22">
        <f>IFERROR('Account_Tracker'!$C$2/AVERAGE('Variables_And_Log'!$F$3:$Q$3),"Log Monthly Payments to Calculate")</f>
        <v/>
      </c>
      <c r="C66" s="10">
        <f>IF(ISNUMBER(B66),IF(B66&gt;36,"Safe: 3+ Year Volatility Shield","Caution: Shield Shrinking"),"Awaiting Payment Data")</f>
        <v/>
      </c>
    </row>
    <row r="67">
      <c r="A67" s="8" t="inlineStr">
        <is>
          <t>(Runway uses the average of whichever 2026 monthly TSP payments you've logged so far.)</t>
        </is>
      </c>
    </row>
    <row r="68"/>
    <row r="69">
      <c r="A69" s="1" t="inlineStr">
        <is>
          <t>EMERGENCY LIQUIDITY PROTOCOL — NEXT-DOLLAR PRIORITY ENGINE</t>
        </is>
      </c>
      <c r="B69" s="1" t="n"/>
      <c r="C69" s="1" t="n"/>
      <c r="D69" s="1" t="n"/>
      <c r="E69" s="1" t="n"/>
    </row>
    <row r="70" ht="60" customHeight="1">
      <c r="A70" s="13" t="inlineStr">
        <is>
          <t>Next-Dollar Liquidity Priority</t>
        </is>
      </c>
      <c r="B70" s="23">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Wife's Current Employer 403b. Her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70" s="24" t="n"/>
      <c r="D70" s="24" t="n"/>
      <c r="E70" s="24" t="n"/>
    </row>
    <row r="71" ht="20" customHeight="1">
      <c r="B71" s="24" t="n"/>
      <c r="C71" s="24" t="n"/>
      <c r="D71" s="24" t="n"/>
      <c r="E71" s="24" t="n"/>
    </row>
    <row r="72" ht="20" customHeight="1">
      <c r="B72" s="24" t="n"/>
      <c r="C72" s="24" t="n"/>
      <c r="D72" s="24" t="n"/>
      <c r="E72" s="24" t="n"/>
    </row>
    <row r="73"/>
    <row r="74">
      <c r="A74" s="8" t="inlineStr">
        <is>
          <t>Legend: pale-yellow cells are yours to type into; white cells hold formulas -- please don't overwrite them.</t>
        </is>
      </c>
    </row>
  </sheetData>
  <mergeCells count="5">
    <mergeCell ref="A69:E69"/>
    <mergeCell ref="A50:E50"/>
    <mergeCell ref="B70:E72"/>
    <mergeCell ref="A63:C63"/>
    <mergeCell ref="A6:H6"/>
  </mergeCells>
  <conditionalFormatting sqref="B70:B72">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2026-09-02T01:43:21Z</dcterms:created>
  <dcterms:modified xmlns:dcterms="http://purl.org/dc/terms/" xmlns:xsi="http://www.w3.org/2001/XMLSchema-instance" xsi:type="dcterms:W3CDTF">2026-09-02T01:43:21Z</dcterms:modified>
</cp:coreProperties>
</file>