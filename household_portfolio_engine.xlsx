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ation" sheetId="1" state="visible" r:id="rId1"/>
    <sheet xmlns:r="http://schemas.openxmlformats.org/officeDocument/2006/relationships" name="Variables_And_Log" sheetId="2" state="visible" r:id="rId2"/>
    <sheet xmlns:r="http://schemas.openxmlformats.org/officeDocument/2006/relationships" name="Account_Tracker" sheetId="3" state="visible" r:id="rId3"/>
    <sheet xmlns:r="http://schemas.openxmlformats.org/officeDocument/2006/relationships" name="The_Refill_Engine" sheetId="4" state="visible" r:id="rId4"/>
  </sheets>
  <definedNames/>
  <calcPr calcId="124519" fullCalcOnLoad="1"/>
</workbook>
</file>

<file path=xl/styles.xml><?xml version="1.0" encoding="utf-8"?>
<styleSheet xmlns="http://schemas.openxmlformats.org/spreadsheetml/2006/main">
  <numFmts count="2">
    <numFmt numFmtId="164" formatCode="$#,##0"/>
    <numFmt numFmtId="165" formatCode="0.0"/>
  </numFmts>
  <fonts count="6">
    <font>
      <name val="Calibri"/>
      <family val="2"/>
      <color theme="1"/>
      <sz val="11"/>
      <scheme val="minor"/>
    </font>
    <font>
      <name val="Segoe UI"/>
      <b val="1"/>
      <color rgb="00FFFFFF"/>
      <sz val="11"/>
    </font>
    <font>
      <name val="Segoe UI"/>
      <sz val="11"/>
    </font>
    <font>
      <name val="Segoe UI"/>
      <b val="1"/>
      <sz val="11"/>
    </font>
    <font>
      <name val="Segoe UI"/>
      <i val="1"/>
      <color rgb="00595959"/>
      <sz val="9"/>
    </font>
    <font>
      <name val="Segoe UI"/>
      <sz val="10"/>
    </font>
  </fonts>
  <fills count="9">
    <fill>
      <patternFill/>
    </fill>
    <fill>
      <patternFill patternType="gray125"/>
    </fill>
    <fill>
      <patternFill patternType="solid">
        <fgColor rgb="001F3864"/>
        <bgColor rgb="001F3864"/>
      </patternFill>
    </fill>
    <fill>
      <patternFill patternType="solid">
        <fgColor rgb="0044546A"/>
        <bgColor rgb="0044546A"/>
      </patternFill>
    </fill>
    <fill>
      <patternFill patternType="solid">
        <fgColor rgb="00FFFDE7"/>
        <bgColor rgb="00FFFDE7"/>
      </patternFill>
    </fill>
    <fill>
      <patternFill patternType="solid">
        <fgColor rgb="00DCE6F1"/>
        <bgColor rgb="00DCE6F1"/>
      </patternFill>
    </fill>
    <fill>
      <patternFill patternType="solid">
        <fgColor rgb="00E2EFDA"/>
        <bgColor rgb="00E2EFDA"/>
      </patternFill>
    </fill>
    <fill>
      <patternFill patternType="solid">
        <fgColor rgb="00FFF2CC"/>
        <bgColor rgb="00FFF2CC"/>
      </patternFill>
    </fill>
    <fill>
      <patternFill patternType="solid">
        <fgColor rgb="00FCE4E4"/>
        <bgColor rgb="00FCE4E4"/>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1F3864"/>
      </top>
      <bottom style="thin">
        <color rgb="00BFBFBF"/>
      </bottom>
    </border>
  </borders>
  <cellStyleXfs count="1">
    <xf numFmtId="0" fontId="0" fillId="0" borderId="0"/>
  </cellStyleXfs>
  <cellXfs count="35">
    <xf numFmtId="0" fontId="0" fillId="0" borderId="0" pivotButton="0" quotePrefix="0" xfId="0"/>
    <xf numFmtId="0" fontId="1" fillId="2" borderId="1" pivotButton="0" quotePrefix="0" xfId="0"/>
    <xf numFmtId="0" fontId="1" fillId="3" borderId="1" pivotButton="0" quotePrefix="0" xfId="0"/>
    <xf numFmtId="0" fontId="2" fillId="0" borderId="0" applyAlignment="1" pivotButton="0" quotePrefix="0" xfId="0">
      <alignment horizontal="left" vertical="top" wrapText="1"/>
    </xf>
    <xf numFmtId="0" fontId="3" fillId="0" borderId="0" applyAlignment="1" pivotButton="0" quotePrefix="0" xfId="0">
      <alignment horizontal="right" vertical="top"/>
    </xf>
    <xf numFmtId="0" fontId="0" fillId="4" borderId="1" pivotButton="0" quotePrefix="0" xfId="0"/>
    <xf numFmtId="0" fontId="0" fillId="0" borderId="1" pivotButton="0" quotePrefix="0" xfId="0"/>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1" fillId="2" borderId="1" applyAlignment="1" pivotButton="0" quotePrefix="0" xfId="0">
      <alignment horizontal="center" vertical="center" wrapText="1"/>
    </xf>
    <xf numFmtId="0" fontId="3" fillId="0" borderId="1" applyAlignment="1" pivotButton="0" quotePrefix="0" xfId="0">
      <alignment horizontal="left" vertical="top" wrapText="1"/>
    </xf>
    <xf numFmtId="0" fontId="2" fillId="0" borderId="1" applyAlignment="1" pivotButton="0" quotePrefix="0" xfId="0">
      <alignment horizontal="left" vertical="top" wrapText="1"/>
    </xf>
    <xf numFmtId="1" fontId="2" fillId="0" borderId="1" pivotButton="0" quotePrefix="0" xfId="0"/>
    <xf numFmtId="10" fontId="2" fillId="4" borderId="1" pivotButton="0" quotePrefix="0" xfId="0"/>
    <xf numFmtId="10" fontId="2" fillId="0" borderId="1" pivotButton="0" quotePrefix="0" xfId="0"/>
    <xf numFmtId="164" fontId="2" fillId="0" borderId="1" pivotButton="0" quotePrefix="0" xfId="0"/>
    <xf numFmtId="164" fontId="2" fillId="4" borderId="1" pivotButton="0" quotePrefix="0" xfId="0"/>
    <xf numFmtId="0" fontId="4" fillId="0" borderId="0" pivotButton="0" quotePrefix="0" xfId="0"/>
    <xf numFmtId="0" fontId="2" fillId="0" borderId="1" pivotButton="0" quotePrefix="0" xfId="0"/>
    <xf numFmtId="0" fontId="3" fillId="5" borderId="1" pivotButton="0" quotePrefix="0" xfId="0"/>
    <xf numFmtId="164" fontId="3" fillId="5" borderId="1" pivotButton="0" quotePrefix="0" xfId="0"/>
    <xf numFmtId="10" fontId="3" fillId="5" borderId="1" pivotButton="0" quotePrefix="0" xfId="0"/>
    <xf numFmtId="0" fontId="3" fillId="0" borderId="1" pivotButton="0" quotePrefix="0" xfId="0"/>
    <xf numFmtId="10" fontId="3" fillId="4" borderId="1" pivotButton="0" quotePrefix="0" xfId="0"/>
    <xf numFmtId="1" fontId="2" fillId="0" borderId="2" pivotButton="0" quotePrefix="0" xfId="0"/>
    <xf numFmtId="0" fontId="2" fillId="0" borderId="2" pivotButton="0" quotePrefix="0" xfId="0"/>
    <xf numFmtId="164" fontId="2" fillId="0" borderId="2" pivotButton="0" quotePrefix="0" xfId="0"/>
    <xf numFmtId="0" fontId="2" fillId="0" borderId="2" applyAlignment="1" pivotButton="0" quotePrefix="0" xfId="0">
      <alignment horizontal="left" vertical="center" wrapText="1"/>
    </xf>
    <xf numFmtId="164" fontId="3" fillId="5" borderId="2" pivotButton="0" quotePrefix="0" xfId="0"/>
    <xf numFmtId="164" fontId="2" fillId="4" borderId="2" pivotButton="0" quotePrefix="0" xfId="0"/>
    <xf numFmtId="0" fontId="2" fillId="0" borderId="1" applyAlignment="1" pivotButton="0" quotePrefix="0" xfId="0">
      <alignment horizontal="left" vertical="center" wrapText="1"/>
    </xf>
    <xf numFmtId="165" fontId="2" fillId="0" borderId="1" pivotButton="0" quotePrefix="0" xfId="0"/>
    <xf numFmtId="0" fontId="5" fillId="0" borderId="1" applyAlignment="1" pivotButton="0" quotePrefix="0" xfId="0">
      <alignment horizontal="left" vertical="top" wrapText="1"/>
    </xf>
  </cellXfs>
  <cellStyles count="1">
    <cellStyle name="Normal" xfId="0" builtinId="0" hidden="0"/>
  </cellStyles>
  <dxfs count="3">
    <dxf>
      <font>
        <name val="Segoe UI"/>
        <b val="1"/>
        <color rgb="00375623"/>
        <sz val="10"/>
      </font>
      <fill>
        <patternFill patternType="solid">
          <fgColor rgb="00E2EFDA"/>
          <bgColor rgb="00E2EFDA"/>
        </patternFill>
      </fill>
    </dxf>
    <dxf>
      <font>
        <name val="Segoe UI"/>
        <b val="1"/>
        <color rgb="007F6000"/>
        <sz val="10"/>
      </font>
      <fill>
        <patternFill patternType="solid">
          <fgColor rgb="00FFF2CC"/>
          <bgColor rgb="00FFF2CC"/>
        </patternFill>
      </fill>
    </dxf>
    <dxf>
      <font>
        <name val="Segoe UI"/>
        <b val="1"/>
        <color rgb="00C00000"/>
        <sz val="10"/>
      </font>
      <fill>
        <patternFill patternType="solid">
          <fgColor rgb="00FCE4E4"/>
          <bgColor rgb="00FCE4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showGridLines="1" workbookViewId="0">
      <pane ySplit="1" topLeftCell="A2" activePane="bottomLeft" state="frozen"/>
      <selection pane="bottomLeft" activeCell="A1" sqref="A1"/>
    </sheetView>
  </sheetViews>
  <sheetFormatPr baseColWidth="8" defaultRowHeight="15"/>
  <cols>
    <col width="22" customWidth="1" min="1" max="1"/>
    <col width="90" customWidth="1" min="2" max="2"/>
  </cols>
  <sheetData>
    <row r="1" ht="24" customHeight="1">
      <c r="A1" s="1" t="inlineStr">
        <is>
          <t>HOUSEHOLD PORTFOLIO ENGINE — DOCUMENTATION &amp; USER GUIDE</t>
        </is>
      </c>
      <c r="B1" s="1" t="n"/>
    </row>
    <row r="3" ht="20" customHeight="1">
      <c r="A3" s="2" t="inlineStr">
        <is>
          <t>WHY THIS SPREADSHEET EXISTS</t>
        </is>
      </c>
      <c r="B3" s="2" t="n"/>
    </row>
    <row r="4" ht="83" customHeight="1">
      <c r="B4" s="3" t="inlineStr">
        <is>
          <t>This workbook manages a two-bucket, decumulation-phase retirement income strategy built to protect the household from Sequence-of-Returns Risk (SRR) -- the danger that a market downturn early in retirement forces the sale of depreciated stocks to cover monthly living expenses, permanently damaging the portfolio's ability to recover. The strategy rests on three ideas, described below.</t>
        </is>
      </c>
    </row>
    <row r="5" ht="83" customHeight="1">
      <c r="B5" s="3" t="inlineStr">
        <is>
          <t>1. The TSP G Fund as a "free lunch" cash vault. By law, the G Fund earns the yield of intermediate- to long-term Treasuries while never losing principal value and staying instantly liquid. It serves as the household's operating cash account -- monthly bills are paid straight out of it, so equities are never sold to cover routine expenses.</t>
        </is>
      </c>
    </row>
    <row r="6" ht="98" customHeight="1">
      <c r="B6" s="3" t="inlineStr">
        <is>
          <t>2. A dynamic Refill Engine, not a fixed withdrawal rate. Instead of a static 4%-rule, this workbook tracks a real-growth hurdle (COLA layered on a fixed real-growth baseline) year over year. When actual household wealth clears that hurdle, it's safe to harvest equity gains and roll them back into the G Fund to top the shield back up. When wealth falls short, all equity sales freeze and the G Fund alone absorbs spending, giving stocks time to recover.</t>
        </is>
      </c>
    </row>
    <row r="7" ht="83" customHeight="1">
      <c r="B7" s="3" t="inlineStr">
        <is>
          <t>3. Asset location by account. Safe, fixed-income assets are deliberately concentrated in accounts built for stability (the TSP G Fund, a spouse's workplace plan), while private IRAs hold the aggressive growth positions and serve as Roth-conversion conduits -- keeping each spouse's accounts doing the job they're best suited for.</t>
        </is>
      </c>
    </row>
    <row r="9" ht="20" customHeight="1">
      <c r="A9" s="2" t="inlineStr">
        <is>
          <t>HOW THE FOUR TABS WORK TOGETHER</t>
        </is>
      </c>
      <c r="B9" s="2" t="n"/>
    </row>
    <row r="10" ht="53" customHeight="1">
      <c r="B10" s="3" t="inlineStr">
        <is>
          <t>Documentation (this tab) -- Motivation, how-to, a quarterly checklist, the color legend, and a glossary. Nothing here feeds any formula; it's for the humans using the sheet.</t>
        </is>
      </c>
    </row>
    <row r="11" ht="68" customHeight="1">
      <c r="B11" s="3" t="inlineStr">
        <is>
          <t>Variables_And_Log -- Where you log the two things that change constantly: the actual Social Security/Federal COLA each year, and every month's actual TSP -&gt; checking payment. Everything else on this tab is a formula built from those two inputs.</t>
        </is>
      </c>
    </row>
    <row r="12" ht="68" customHeight="1">
      <c r="B12" s="3" t="inlineStr">
        <is>
          <t>Account_Tracker -- A snapshot of every account's live balance, updated by hand whenever you check statements (aim for at least quarterly). This is the single source of truth for household net worth that every other tab's formulas reference.</t>
        </is>
      </c>
    </row>
    <row r="13" ht="98" customHeight="1">
      <c r="B13" s="3" t="inlineStr">
        <is>
          <t>The_Refill_Engine -- The decision-making tab. The Quarterly Refill Engine table is the headline output -- each quarter it tells you how much (if anything) to move from a private pre-tax account into the TSP G Fund. Below that, the Annual SRR Hurdle Model is the strategic gauge that decides GOOD vs. POOR for the year, and the Emergency Liquidity Protocol tells you, in a full-blown crisis, exactly which account to draw from next.</t>
        </is>
      </c>
    </row>
    <row r="15" ht="20" customHeight="1">
      <c r="A15" s="2" t="inlineStr">
        <is>
          <t>YOUR QUARTERLY CHECKLIST</t>
        </is>
      </c>
      <c r="B15" s="2" t="n"/>
    </row>
    <row r="16" ht="23" customHeight="1">
      <c r="A16" s="4" t="inlineStr">
        <is>
          <t>1.</t>
        </is>
      </c>
      <c r="B16" s="3" t="inlineStr">
        <is>
          <t>Update Account_Tracker with current balances from your statements.</t>
        </is>
      </c>
    </row>
    <row r="17" ht="38" customHeight="1">
      <c r="A17" s="4" t="inlineStr">
        <is>
          <t>2.</t>
        </is>
      </c>
      <c r="B17" s="3" t="inlineStr">
        <is>
          <t>Confirm Variables_And_Log has this quarter's three monthly TSP payments logged.</t>
        </is>
      </c>
    </row>
    <row r="18" ht="38" customHeight="1">
      <c r="A18" s="4" t="inlineStr">
        <is>
          <t>3.</t>
        </is>
      </c>
      <c r="B18" s="3" t="inlineStr">
        <is>
          <t>Open The_Refill_Engine and find this quarter's row in the Quarterly Refill Engine table.</t>
        </is>
      </c>
    </row>
    <row r="19" ht="38" customHeight="1">
      <c r="A19" s="4" t="inlineStr">
        <is>
          <t>4.</t>
        </is>
      </c>
      <c r="B19" s="3" t="inlineStr">
        <is>
          <t>Check the "Recommended Transfer This Quarter" cell. If it's $0, do nothing -- the shield is intact or the market hasn't cleared its hurdle yet.</t>
        </is>
      </c>
    </row>
    <row r="20" ht="38" customHeight="1">
      <c r="A20" s="4" t="inlineStr">
        <is>
          <t>5.</t>
        </is>
      </c>
      <c r="B20" s="3" t="inlineStr">
        <is>
          <t>If it's a positive number, execute a pre-tax rollover of that amount from your Conversion Conduit (Traditional IRA) into the TSP G Fund.</t>
        </is>
      </c>
    </row>
    <row r="21" ht="53" customHeight="1">
      <c r="A21" s="4" t="inlineStr">
        <is>
          <t>6.</t>
        </is>
      </c>
      <c r="B21" s="3" t="inlineStr">
        <is>
          <t>Log whatever you actually transferred in the "Actual Transferred" column, even if it matches the recommendation exactly -- leaving it blank makes the sheet assume the recommendation happened.</t>
        </is>
      </c>
    </row>
    <row r="22" ht="38" customHeight="1">
      <c r="A22" s="4" t="inlineStr">
        <is>
          <t>7.</t>
        </is>
      </c>
      <c r="B22" s="3" t="inlineStr">
        <is>
          <t>If the TSP G Fund is ever fully drawn down, check the Emergency Liquidity Protocol block for the next-dollar priority order.</t>
        </is>
      </c>
    </row>
    <row r="24" ht="20" customHeight="1">
      <c r="A24" s="2" t="inlineStr">
        <is>
          <t>COLOR LEGEND</t>
        </is>
      </c>
      <c r="B24" s="2" t="n"/>
    </row>
    <row r="25" ht="23" customHeight="1">
      <c r="A25" s="5" t="n"/>
      <c r="B25" s="3" t="inlineStr">
        <is>
          <t>Pale yellow -- type your own numbers here.</t>
        </is>
      </c>
    </row>
    <row r="26" ht="23" customHeight="1">
      <c r="A26" s="6" t="n"/>
      <c r="B26" s="3" t="inlineStr">
        <is>
          <t>White (no fill) -- a formula; please leave it alone.</t>
        </is>
      </c>
    </row>
    <row r="27" ht="23" customHeight="1">
      <c r="A27" s="7" t="n"/>
      <c r="B27" s="3" t="inlineStr">
        <is>
          <t>Ice blue -- a computed summary or headline total.</t>
        </is>
      </c>
    </row>
    <row r="28" ht="23" customHeight="1">
      <c r="A28" s="8" t="n"/>
      <c r="B28" s="3" t="inlineStr">
        <is>
          <t>Green (Emergency Liquidity Protocol only) -- the TSP G Fund shield is active.</t>
        </is>
      </c>
    </row>
    <row r="29" ht="38" customHeight="1">
      <c r="A29" s="9" t="n"/>
      <c r="B29" s="3" t="inlineStr">
        <is>
          <t>Yellow (Emergency Liquidity Protocol only) -- the G Fund is exhausted; drawing from the cash buffer.</t>
        </is>
      </c>
    </row>
    <row r="30" ht="38" customHeight="1">
      <c r="A30" s="10" t="n"/>
      <c r="B30" s="3" t="inlineStr">
        <is>
          <t>Red (Emergency Liquidity Protocol only) -- both cash shields are exhausted; the household is in an emergency-liquidation stage.</t>
        </is>
      </c>
    </row>
    <row r="32" ht="20" customHeight="1">
      <c r="A32" s="2" t="inlineStr">
        <is>
          <t>GLOSSARY</t>
        </is>
      </c>
      <c r="B32" s="2" t="n"/>
    </row>
    <row r="33">
      <c r="A33" s="11" t="inlineStr">
        <is>
          <t>Term</t>
        </is>
      </c>
      <c r="B33" s="11" t="inlineStr">
        <is>
          <t>Definition</t>
        </is>
      </c>
    </row>
    <row r="34" ht="38" customHeight="1">
      <c r="A34" s="12" t="inlineStr">
        <is>
          <t>COLA</t>
        </is>
      </c>
      <c r="B34" s="13" t="inlineStr">
        <is>
          <t>The federal Cost-of-Living Adjustment, applied annually to Social Security/federal retirement benefits.</t>
        </is>
      </c>
    </row>
    <row r="35" ht="38" customHeight="1">
      <c r="A35" s="12" t="inlineStr">
        <is>
          <t>Hurdle Rate</t>
        </is>
      </c>
      <c r="B35" s="13" t="inlineStr">
        <is>
          <t>The minimum real (inflation-adjusted) growth rate the portfolio needs to clear to be considered "on track" -- COLA layered on a fixed real-growth baseline.</t>
        </is>
      </c>
    </row>
    <row r="36" ht="23" customHeight="1">
      <c r="A36" s="12" t="inlineStr">
        <is>
          <t>W_t / W_q</t>
        </is>
      </c>
      <c r="B36" s="13" t="inlineStr">
        <is>
          <t>Total dollar outflows (withdrawals) for a given year (t) or quarter (q).</t>
        </is>
      </c>
    </row>
    <row r="37" ht="38" customHeight="1">
      <c r="A37" s="12" t="inlineStr">
        <is>
          <t>P_track</t>
        </is>
      </c>
      <c r="B37" s="13" t="inlineStr">
        <is>
          <t>The simulated target portfolio value that the household's actual wealth is measured against each year.</t>
        </is>
      </c>
    </row>
    <row r="38" ht="38" customHeight="1">
      <c r="A38" s="12" t="inlineStr">
        <is>
          <t>SRR</t>
        </is>
      </c>
      <c r="B38" s="13" t="inlineStr">
        <is>
          <t>Sequence-of-Returns Risk -- the risk that a downturn early in retirement forces permanent sale of depreciated assets.</t>
        </is>
      </c>
    </row>
    <row r="39" ht="38" customHeight="1">
      <c r="A39" s="12" t="inlineStr">
        <is>
          <t>TSP G Fund</t>
        </is>
      </c>
      <c r="B39" s="13" t="inlineStr">
        <is>
          <t>The federal Thrift Savings Plan's government-securities fund: principal-protected, instantly liquid, and the household's operating cash vault.</t>
        </is>
      </c>
    </row>
    <row r="40" ht="38" customHeight="1">
      <c r="A40" s="12" t="inlineStr">
        <is>
          <t>Safety Anchor</t>
        </is>
      </c>
      <c r="B40" s="13" t="inlineStr">
        <is>
          <t>The G Fund cash buffer this engine tries to maintain, expressed as a percentage of total net worth (set on The_Refill_Engine).</t>
        </is>
      </c>
    </row>
    <row r="41" ht="38" customHeight="1">
      <c r="A41" s="12" t="inlineStr">
        <is>
          <t>Conduit</t>
        </is>
      </c>
      <c r="B41" s="13" t="inlineStr">
        <is>
          <t>A Traditional IRA used as a pass-through for pre-tax rollovers back into the TSP.</t>
        </is>
      </c>
    </row>
    <row r="42" ht="38" customHeight="1">
      <c r="A42" s="12" t="inlineStr">
        <is>
          <t>Rollover</t>
        </is>
      </c>
      <c r="B42" s="13" t="inlineStr">
        <is>
          <t>A pre-tax transfer of funds between retirement accounts (e.g. Traditional IRA to TSP) that doesn't trigger a taxable distribution.</t>
        </is>
      </c>
    </row>
    <row r="43" ht="23" customHeight="1">
      <c r="A43" s="12" t="inlineStr">
        <is>
          <t>Allocation Mix</t>
        </is>
      </c>
      <c r="B43" s="13" t="inlineStr">
        <is>
          <t>Each account's share of total household net worth, shown on Account_Tracker.</t>
        </is>
      </c>
    </row>
  </sheetData>
  <mergeCells count="6">
    <mergeCell ref="A24:B24"/>
    <mergeCell ref="A15:B15"/>
    <mergeCell ref="A32:B32"/>
    <mergeCell ref="A1:B1"/>
    <mergeCell ref="A9:B9"/>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
  <sheetViews>
    <sheetView showGridLines="1" workbookViewId="0">
      <pane ySplit="2" topLeftCell="A3" activePane="bottomLeft" state="frozen"/>
      <selection pane="bottomLeft" activeCell="A1" sqref="A1"/>
    </sheetView>
  </sheetViews>
  <sheetFormatPr baseColWidth="8" defaultRowHeight="15"/>
  <cols>
    <col width="14" customWidth="1" min="1" max="1"/>
    <col width="28" customWidth="1" min="2" max="2"/>
    <col width="31" customWidth="1" min="3" max="3"/>
    <col width="27" customWidth="1" min="4" max="4"/>
    <col width="30"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20" customHeight="1">
      <c r="A1" s="2" t="inlineStr">
        <is>
          <t>HOUSEHOLD VARIABLE LOG — ANNUAL HURDLE INPUTS &amp; MONTHLY TSP → CHECKING PAYMENT LOG (2026-2035)</t>
        </is>
      </c>
      <c r="B1" s="2" t="n"/>
      <c r="C1" s="2" t="n"/>
      <c r="D1" s="2" t="n"/>
      <c r="E1" s="2" t="n"/>
      <c r="F1" s="2" t="n"/>
      <c r="G1" s="2" t="n"/>
      <c r="H1" s="2" t="n"/>
      <c r="I1" s="2" t="n"/>
      <c r="J1" s="2" t="n"/>
      <c r="K1" s="2" t="n"/>
      <c r="L1" s="2" t="n"/>
      <c r="M1" s="2" t="n"/>
      <c r="N1" s="2" t="n"/>
      <c r="O1" s="2" t="n"/>
      <c r="P1" s="2" t="n"/>
      <c r="Q1" s="2" t="n"/>
    </row>
    <row r="2" ht="32" customHeight="1">
      <c r="A2" s="11" t="inlineStr">
        <is>
          <t>Date / Year</t>
        </is>
      </c>
      <c r="B2" s="11" t="inlineStr">
        <is>
          <t>Actual Federal COLA (C_i)</t>
        </is>
      </c>
      <c r="C2" s="11" t="inlineStr">
        <is>
          <t>Rule of Four Hurdle Baseline</t>
        </is>
      </c>
      <c r="D2" s="11" t="inlineStr">
        <is>
          <t>Total Annual Hurdle Rate</t>
        </is>
      </c>
      <c r="E2" s="11" t="inlineStr">
        <is>
          <t>Total Annual Outflows (W_t)</t>
        </is>
      </c>
      <c r="F2" s="11" t="inlineStr">
        <is>
          <t>Jan</t>
        </is>
      </c>
      <c r="G2" s="11" t="inlineStr">
        <is>
          <t>Feb</t>
        </is>
      </c>
      <c r="H2" s="11" t="inlineStr">
        <is>
          <t>Mar</t>
        </is>
      </c>
      <c r="I2" s="11" t="inlineStr">
        <is>
          <t>Apr</t>
        </is>
      </c>
      <c r="J2" s="11" t="inlineStr">
        <is>
          <t>May</t>
        </is>
      </c>
      <c r="K2" s="11" t="inlineStr">
        <is>
          <t>Jun</t>
        </is>
      </c>
      <c r="L2" s="11" t="inlineStr">
        <is>
          <t>Jul</t>
        </is>
      </c>
      <c r="M2" s="11" t="inlineStr">
        <is>
          <t>Aug</t>
        </is>
      </c>
      <c r="N2" s="11" t="inlineStr">
        <is>
          <t>Sep</t>
        </is>
      </c>
      <c r="O2" s="11" t="inlineStr">
        <is>
          <t>Oct</t>
        </is>
      </c>
      <c r="P2" s="11" t="inlineStr">
        <is>
          <t>Nov</t>
        </is>
      </c>
      <c r="Q2" s="11" t="inlineStr">
        <is>
          <t>Dec</t>
        </is>
      </c>
    </row>
    <row r="3">
      <c r="A3" s="14" t="n">
        <v>2026</v>
      </c>
      <c r="B3" s="15" t="n">
        <v>0.026</v>
      </c>
      <c r="C3" s="16" t="n">
        <v>0.02</v>
      </c>
      <c r="D3" s="16">
        <f>(1+B3)*(1+C3)</f>
        <v/>
      </c>
      <c r="E3" s="17">
        <f>SUM(F3:Q3)</f>
        <v/>
      </c>
      <c r="F3" s="18" t="n"/>
      <c r="G3" s="18" t="n"/>
      <c r="H3" s="18" t="n"/>
      <c r="I3" s="18" t="n"/>
      <c r="J3" s="18" t="n"/>
      <c r="K3" s="18" t="n"/>
      <c r="L3" s="18" t="n"/>
      <c r="M3" s="18" t="n"/>
      <c r="N3" s="18" t="n"/>
      <c r="O3" s="18" t="n"/>
      <c r="P3" s="18" t="n"/>
      <c r="Q3" s="18" t="n"/>
    </row>
    <row r="4">
      <c r="A4" s="14" t="n">
        <v>2027</v>
      </c>
      <c r="B4" s="15" t="n"/>
      <c r="C4" s="16" t="n">
        <v>0.02</v>
      </c>
      <c r="D4" s="16">
        <f>(1+B4)*(1+C4)</f>
        <v/>
      </c>
      <c r="E4" s="17">
        <f>SUM(F4:Q4)</f>
        <v/>
      </c>
      <c r="F4" s="18" t="n"/>
      <c r="G4" s="18" t="n"/>
      <c r="H4" s="18" t="n"/>
      <c r="I4" s="18" t="n"/>
      <c r="J4" s="18" t="n"/>
      <c r="K4" s="18" t="n"/>
      <c r="L4" s="18" t="n"/>
      <c r="M4" s="18" t="n"/>
      <c r="N4" s="18" t="n"/>
      <c r="O4" s="18" t="n"/>
      <c r="P4" s="18" t="n"/>
      <c r="Q4" s="18" t="n"/>
    </row>
    <row r="5">
      <c r="A5" s="14" t="n">
        <v>2028</v>
      </c>
      <c r="B5" s="15" t="n"/>
      <c r="C5" s="16" t="n">
        <v>0.02</v>
      </c>
      <c r="D5" s="16">
        <f>(1+B5)*(1+C5)</f>
        <v/>
      </c>
      <c r="E5" s="17">
        <f>SUM(F5:Q5)</f>
        <v/>
      </c>
      <c r="F5" s="18" t="n"/>
      <c r="G5" s="18" t="n"/>
      <c r="H5" s="18" t="n"/>
      <c r="I5" s="18" t="n"/>
      <c r="J5" s="18" t="n"/>
      <c r="K5" s="18" t="n"/>
      <c r="L5" s="18" t="n"/>
      <c r="M5" s="18" t="n"/>
      <c r="N5" s="18" t="n"/>
      <c r="O5" s="18" t="n"/>
      <c r="P5" s="18" t="n"/>
      <c r="Q5" s="18" t="n"/>
    </row>
    <row r="6">
      <c r="A6" s="14" t="n">
        <v>2029</v>
      </c>
      <c r="B6" s="15" t="n"/>
      <c r="C6" s="16" t="n">
        <v>0.02</v>
      </c>
      <c r="D6" s="16">
        <f>(1+B6)*(1+C6)</f>
        <v/>
      </c>
      <c r="E6" s="17">
        <f>SUM(F6:Q6)</f>
        <v/>
      </c>
      <c r="F6" s="18" t="n"/>
      <c r="G6" s="18" t="n"/>
      <c r="H6" s="18" t="n"/>
      <c r="I6" s="18" t="n"/>
      <c r="J6" s="18" t="n"/>
      <c r="K6" s="18" t="n"/>
      <c r="L6" s="18" t="n"/>
      <c r="M6" s="18" t="n"/>
      <c r="N6" s="18" t="n"/>
      <c r="O6" s="18" t="n"/>
      <c r="P6" s="18" t="n"/>
      <c r="Q6" s="18" t="n"/>
    </row>
    <row r="7">
      <c r="A7" s="14" t="n">
        <v>2030</v>
      </c>
      <c r="B7" s="15" t="n"/>
      <c r="C7" s="16" t="n">
        <v>0.02</v>
      </c>
      <c r="D7" s="16">
        <f>(1+B7)*(1+C7)</f>
        <v/>
      </c>
      <c r="E7" s="17">
        <f>SUM(F7:Q7)</f>
        <v/>
      </c>
      <c r="F7" s="18" t="n"/>
      <c r="G7" s="18" t="n"/>
      <c r="H7" s="18" t="n"/>
      <c r="I7" s="18" t="n"/>
      <c r="J7" s="18" t="n"/>
      <c r="K7" s="18" t="n"/>
      <c r="L7" s="18" t="n"/>
      <c r="M7" s="18" t="n"/>
      <c r="N7" s="18" t="n"/>
      <c r="O7" s="18" t="n"/>
      <c r="P7" s="18" t="n"/>
      <c r="Q7" s="18" t="n"/>
    </row>
    <row r="8">
      <c r="A8" s="14" t="n">
        <v>2031</v>
      </c>
      <c r="B8" s="15" t="n"/>
      <c r="C8" s="16" t="n">
        <v>0.02</v>
      </c>
      <c r="D8" s="16">
        <f>(1+B8)*(1+C8)</f>
        <v/>
      </c>
      <c r="E8" s="17">
        <f>SUM(F8:Q8)</f>
        <v/>
      </c>
      <c r="F8" s="18" t="n"/>
      <c r="G8" s="18" t="n"/>
      <c r="H8" s="18" t="n"/>
      <c r="I8" s="18" t="n"/>
      <c r="J8" s="18" t="n"/>
      <c r="K8" s="18" t="n"/>
      <c r="L8" s="18" t="n"/>
      <c r="M8" s="18" t="n"/>
      <c r="N8" s="18" t="n"/>
      <c r="O8" s="18" t="n"/>
      <c r="P8" s="18" t="n"/>
      <c r="Q8" s="18" t="n"/>
    </row>
    <row r="9">
      <c r="A9" s="14" t="n">
        <v>2032</v>
      </c>
      <c r="B9" s="15" t="n"/>
      <c r="C9" s="16" t="n">
        <v>0.02</v>
      </c>
      <c r="D9" s="16">
        <f>(1+B9)*(1+C9)</f>
        <v/>
      </c>
      <c r="E9" s="17">
        <f>SUM(F9:Q9)</f>
        <v/>
      </c>
      <c r="F9" s="18" t="n"/>
      <c r="G9" s="18" t="n"/>
      <c r="H9" s="18" t="n"/>
      <c r="I9" s="18" t="n"/>
      <c r="J9" s="18" t="n"/>
      <c r="K9" s="18" t="n"/>
      <c r="L9" s="18" t="n"/>
      <c r="M9" s="18" t="n"/>
      <c r="N9" s="18" t="n"/>
      <c r="O9" s="18" t="n"/>
      <c r="P9" s="18" t="n"/>
      <c r="Q9" s="18" t="n"/>
    </row>
    <row r="10">
      <c r="A10" s="14" t="n">
        <v>2033</v>
      </c>
      <c r="B10" s="15" t="n"/>
      <c r="C10" s="16" t="n">
        <v>0.02</v>
      </c>
      <c r="D10" s="16">
        <f>(1+B10)*(1+C10)</f>
        <v/>
      </c>
      <c r="E10" s="17">
        <f>SUM(F10:Q10)</f>
        <v/>
      </c>
      <c r="F10" s="18" t="n"/>
      <c r="G10" s="18" t="n"/>
      <c r="H10" s="18" t="n"/>
      <c r="I10" s="18" t="n"/>
      <c r="J10" s="18" t="n"/>
      <c r="K10" s="18" t="n"/>
      <c r="L10" s="18" t="n"/>
      <c r="M10" s="18" t="n"/>
      <c r="N10" s="18" t="n"/>
      <c r="O10" s="18" t="n"/>
      <c r="P10" s="18" t="n"/>
      <c r="Q10" s="18" t="n"/>
    </row>
    <row r="11">
      <c r="A11" s="14" t="n">
        <v>2034</v>
      </c>
      <c r="B11" s="15" t="n"/>
      <c r="C11" s="16" t="n">
        <v>0.02</v>
      </c>
      <c r="D11" s="16">
        <f>(1+B11)*(1+C11)</f>
        <v/>
      </c>
      <c r="E11" s="17">
        <f>SUM(F11:Q11)</f>
        <v/>
      </c>
      <c r="F11" s="18" t="n"/>
      <c r="G11" s="18" t="n"/>
      <c r="H11" s="18" t="n"/>
      <c r="I11" s="18" t="n"/>
      <c r="J11" s="18" t="n"/>
      <c r="K11" s="18" t="n"/>
      <c r="L11" s="18" t="n"/>
      <c r="M11" s="18" t="n"/>
      <c r="N11" s="18" t="n"/>
      <c r="O11" s="18" t="n"/>
      <c r="P11" s="18" t="n"/>
      <c r="Q11" s="18" t="n"/>
    </row>
    <row r="12">
      <c r="A12" s="14" t="n">
        <v>2035</v>
      </c>
      <c r="B12" s="15" t="n"/>
      <c r="C12" s="16" t="n">
        <v>0.02</v>
      </c>
      <c r="D12" s="16">
        <f>(1+B12)*(1+C12)</f>
        <v/>
      </c>
      <c r="E12" s="17">
        <f>SUM(F12:Q12)</f>
        <v/>
      </c>
      <c r="F12" s="18" t="n"/>
      <c r="G12" s="18" t="n"/>
      <c r="H12" s="18" t="n"/>
      <c r="I12" s="18" t="n"/>
      <c r="J12" s="18" t="n"/>
      <c r="K12" s="18" t="n"/>
      <c r="L12" s="18" t="n"/>
      <c r="M12" s="18" t="n"/>
      <c r="N12" s="18" t="n"/>
      <c r="O12" s="18" t="n"/>
      <c r="P12" s="18" t="n"/>
      <c r="Q12" s="18" t="n"/>
    </row>
    <row r="13"/>
    <row r="14">
      <c r="A14" s="19" t="inlineStr">
        <is>
          <t>Notes: Seed 2026 COLA is set; enter 2027-2035 COLA as it is announced each fall. Log each month's actual TSP -&gt; checking payment in columns F:Q as it is set or changes -- Total Annual Outflows (E) sums automatically. If a payment amount changes mid-year, just overwrite that month's cell going forward.</t>
        </is>
      </c>
    </row>
    <row r="15">
      <c r="A15" s="19" t="inlineStr">
        <is>
          <t>Legend: pale-yellow cells are yours to type into; white cells hold formulas -- please don't overwrite them.</t>
        </is>
      </c>
    </row>
  </sheetData>
  <mergeCells count="1">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showGridLines="1" workbookViewId="0">
      <pane ySplit="1" topLeftCell="A2" activePane="bottomLeft" state="frozen"/>
      <selection pane="bottomLeft" activeCell="A1" sqref="A1"/>
    </sheetView>
  </sheetViews>
  <sheetFormatPr baseColWidth="8" defaultRowHeight="15"/>
  <cols>
    <col width="32" customWidth="1" min="1" max="1"/>
    <col width="52" customWidth="1" min="2" max="2"/>
    <col width="15" customWidth="1" min="3" max="3"/>
    <col width="17" customWidth="1" min="4" max="4"/>
  </cols>
  <sheetData>
    <row r="1" ht="24" customHeight="1">
      <c r="A1" s="11" t="inlineStr">
        <is>
          <t>Asset Pool</t>
        </is>
      </c>
      <c r="B1" s="11" t="inlineStr">
        <is>
          <t>Custodian / Platform</t>
        </is>
      </c>
      <c r="C1" s="11" t="inlineStr">
        <is>
          <t>Live Balance</t>
        </is>
      </c>
      <c r="D1" s="11" t="inlineStr">
        <is>
          <t>Allocation Mix</t>
        </is>
      </c>
    </row>
    <row r="2">
      <c r="A2" s="20" t="inlineStr">
        <is>
          <t>Your Pre-Tax Account</t>
        </is>
      </c>
      <c r="B2" s="20" t="inlineStr">
        <is>
          <t>TSP G Fund</t>
        </is>
      </c>
      <c r="C2" s="18" t="n">
        <v>100000</v>
      </c>
      <c r="D2" s="16">
        <f>C2/$C$9</f>
        <v/>
      </c>
    </row>
    <row r="3">
      <c r="A3" s="20" t="inlineStr">
        <is>
          <t>Your Conversion Conduit</t>
        </is>
      </c>
      <c r="B3" s="20" t="inlineStr">
        <is>
          <t>Private Traditional IRA</t>
        </is>
      </c>
      <c r="C3" s="18" t="n">
        <v>100000</v>
      </c>
      <c r="D3" s="16">
        <f>C3/$C$9</f>
        <v/>
      </c>
    </row>
    <row r="4">
      <c r="A4" s="20" t="inlineStr">
        <is>
          <t>Your Tax-Free Growth</t>
        </is>
      </c>
      <c r="B4" s="20" t="inlineStr">
        <is>
          <t>Private Roth IRA</t>
        </is>
      </c>
      <c r="C4" s="18" t="n">
        <v>100000</v>
      </c>
      <c r="D4" s="16">
        <f>C4/$C$9</f>
        <v/>
      </c>
    </row>
    <row r="5">
      <c r="A5" s="20" t="inlineStr">
        <is>
          <t>Spouse's Tax-Free Growth</t>
        </is>
      </c>
      <c r="B5" s="20" t="inlineStr">
        <is>
          <t>Private Roth IRA</t>
        </is>
      </c>
      <c r="C5" s="18" t="n">
        <v>100000</v>
      </c>
      <c r="D5" s="16">
        <f>C5/$C$9</f>
        <v/>
      </c>
    </row>
    <row r="6">
      <c r="A6" s="20" t="inlineStr">
        <is>
          <t>Spouse's Safe Pre-Tax Account</t>
        </is>
      </c>
      <c r="B6" s="20" t="inlineStr">
        <is>
          <t>Current Employer 403b (Active + Reverse Rollover)</t>
        </is>
      </c>
      <c r="C6" s="18" t="n">
        <v>100000</v>
      </c>
      <c r="D6" s="16">
        <f>C6/$C$9</f>
        <v/>
      </c>
    </row>
    <row r="7">
      <c r="A7" s="20" t="inlineStr">
        <is>
          <t>Spouse's Conversion Conduit</t>
        </is>
      </c>
      <c r="B7" s="20" t="inlineStr">
        <is>
          <t>Private Traditional IRA</t>
        </is>
      </c>
      <c r="C7" s="18" t="n">
        <v>100000</v>
      </c>
      <c r="D7" s="16">
        <f>C7/$C$9</f>
        <v/>
      </c>
    </row>
    <row r="8">
      <c r="A8" s="20" t="inlineStr">
        <is>
          <t>Short-Term Liquidity</t>
        </is>
      </c>
      <c r="B8" s="20" t="inlineStr">
        <is>
          <t>Merrill Edge Cash Buffer</t>
        </is>
      </c>
      <c r="C8" s="18" t="n">
        <v>100000</v>
      </c>
      <c r="D8" s="16">
        <f>C8/$C$9</f>
        <v/>
      </c>
    </row>
    <row r="9">
      <c r="A9" s="21" t="inlineStr">
        <is>
          <t>Total Household Net Worth</t>
        </is>
      </c>
      <c r="B9" s="21" t="n"/>
      <c r="C9" s="22">
        <f>SUM(C2:C8)</f>
        <v/>
      </c>
      <c r="D9" s="23">
        <f>C9/C9</f>
        <v/>
      </c>
    </row>
    <row r="10">
      <c r="A10" s="19" t="inlineStr">
        <is>
          <t>Note: Live Balance figures are a manually-updated snapshot -- refresh them whenever you check statements, ideally at least quarterly, so Tab 3's projections start from an accurate baseline.</t>
        </is>
      </c>
    </row>
    <row r="11">
      <c r="A11" s="19" t="inlineStr">
        <is>
          <t>Legend: pale-yellow cells are yours to type into; white cells hold formulas -- please don't overwrite them.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4"/>
  <sheetViews>
    <sheetView showGridLines="1" workbookViewId="0">
      <pane ySplit="7" topLeftCell="A8" activePane="bottomLeft" state="frozen"/>
      <selection pane="bottomLeft" activeCell="A1" sqref="A1"/>
    </sheetView>
  </sheetViews>
  <sheetFormatPr baseColWidth="8" defaultRowHeight="15"/>
  <cols>
    <col width="42" customWidth="1" min="1" max="1"/>
    <col width="14" customWidth="1" min="2" max="2"/>
    <col width="22" customWidth="1" min="3" max="3"/>
    <col width="44" customWidth="1" min="4" max="4"/>
    <col width="22" customWidth="1" min="5" max="5"/>
    <col width="22" customWidth="1" min="6" max="6"/>
    <col width="22" customWidth="1" min="7" max="7"/>
    <col width="22" customWidth="1" min="8" max="8"/>
  </cols>
  <sheetData>
    <row r="1">
      <c r="A1" s="21" t="inlineStr">
        <is>
          <t>Total Current Actual Wealth</t>
        </is>
      </c>
      <c r="B1" s="22">
        <f>'Account_Tracker'!$C$9</f>
        <v/>
      </c>
    </row>
    <row r="2">
      <c r="A2" s="24" t="inlineStr">
        <is>
          <t>Safety Anchor Target % (of Net Worth)</t>
        </is>
      </c>
      <c r="B2" s="25" t="n">
        <v>0.35</v>
      </c>
    </row>
    <row r="3">
      <c r="A3" s="21" t="inlineStr">
        <is>
          <t>Target Safety Anchor Balance ($)</t>
        </is>
      </c>
      <c r="B3" s="22">
        <f>B1*B2</f>
        <v/>
      </c>
    </row>
    <row r="4">
      <c r="A4" s="19" t="inlineStr">
        <is>
          <t>Sequence-of-Returns-Risk (SRR) Shield: the Safety Anchor Target % above controls how large a G Fund cash buffer this engine tries to maintain, so equities are never forced to sell at a loss to fund living expenses. Raise or lower it to fit your risk tolerance.</t>
        </is>
      </c>
    </row>
    <row r="5"/>
    <row r="6" ht="20" customHeight="1">
      <c r="A6" s="2" t="inlineStr">
        <is>
          <t>THE QUARTERLY REFILL ENGINE — PRIMARY OUTPUT: RECOMMENDED TSP TOP-UP TRANSFER</t>
        </is>
      </c>
      <c r="B6" s="2" t="n"/>
      <c r="C6" s="2" t="n"/>
      <c r="D6" s="2" t="n"/>
      <c r="E6" s="2" t="n"/>
      <c r="F6" s="2" t="n"/>
      <c r="G6" s="2" t="n"/>
      <c r="H6" s="2" t="n"/>
    </row>
    <row r="7" ht="40" customHeight="1">
      <c r="A7" s="11" t="inlineStr">
        <is>
          <t>Year</t>
        </is>
      </c>
      <c r="B7" s="11" t="inlineStr">
        <is>
          <t>Quarter</t>
        </is>
      </c>
      <c r="C7" s="11" t="inlineStr">
        <is>
          <t>Quarterly Outflow (W_q)</t>
        </is>
      </c>
      <c r="D7" s="11" t="inlineStr">
        <is>
          <t>Annual Performance Signal</t>
        </is>
      </c>
      <c r="E7" s="11" t="inlineStr">
        <is>
          <t>G Fund Balance (Start of Qtr)</t>
        </is>
      </c>
      <c r="F7" s="11" t="inlineStr">
        <is>
          <t>Recommended Transfer This Quarter</t>
        </is>
      </c>
      <c r="G7" s="11" t="inlineStr">
        <is>
          <t>Actual Transferred (Log It Here)</t>
        </is>
      </c>
      <c r="H7" s="11" t="inlineStr">
        <is>
          <t>G Fund Balance (End of Qtr, Projected)</t>
        </is>
      </c>
    </row>
    <row r="8" ht="28" customHeight="1">
      <c r="A8" s="26" t="n">
        <v>2026</v>
      </c>
      <c r="B8" s="27" t="inlineStr">
        <is>
          <t>Q1</t>
        </is>
      </c>
      <c r="C8" s="28">
        <f>SUM('Variables_And_Log'!F3:H3)</f>
        <v/>
      </c>
      <c r="D8" s="29">
        <f>E52</f>
        <v/>
      </c>
      <c r="E8" s="28">
        <f>'Account_Tracker'!$C$2</f>
        <v/>
      </c>
      <c r="F8" s="30">
        <f>IF(ISNUMBER(SEARCH("GOOD",D8)),MAX(0,$B$3-E8),0)</f>
        <v/>
      </c>
      <c r="G8" s="31" t="n"/>
      <c r="H8" s="28">
        <f>E8-C8+IF(G8="",F8,G8)</f>
        <v/>
      </c>
    </row>
    <row r="9" ht="28" customHeight="1">
      <c r="A9" s="14" t="n">
        <v>2026</v>
      </c>
      <c r="B9" s="20" t="inlineStr">
        <is>
          <t>Q2</t>
        </is>
      </c>
      <c r="C9" s="17">
        <f>SUM('Variables_And_Log'!I3:K3)</f>
        <v/>
      </c>
      <c r="D9" s="32">
        <f>E52</f>
        <v/>
      </c>
      <c r="E9" s="17">
        <f>H8</f>
        <v/>
      </c>
      <c r="F9" s="22">
        <f>IF(ISNUMBER(SEARCH("GOOD",D9)),MAX(0,$B$3-E9),0)</f>
        <v/>
      </c>
      <c r="G9" s="18" t="n"/>
      <c r="H9" s="17">
        <f>E9-C9+IF(G9="",F9,G9)</f>
        <v/>
      </c>
    </row>
    <row r="10" ht="28" customHeight="1">
      <c r="A10" s="14" t="n">
        <v>2026</v>
      </c>
      <c r="B10" s="20" t="inlineStr">
        <is>
          <t>Q3</t>
        </is>
      </c>
      <c r="C10" s="17">
        <f>SUM('Variables_And_Log'!L3:N3)</f>
        <v/>
      </c>
      <c r="D10" s="32">
        <f>E52</f>
        <v/>
      </c>
      <c r="E10" s="17">
        <f>H9</f>
        <v/>
      </c>
      <c r="F10" s="22">
        <f>IF(ISNUMBER(SEARCH("GOOD",D10)),MAX(0,$B$3-E10),0)</f>
        <v/>
      </c>
      <c r="G10" s="18" t="n"/>
      <c r="H10" s="17">
        <f>E10-C10+IF(G10="",F10,G10)</f>
        <v/>
      </c>
    </row>
    <row r="11" ht="28" customHeight="1">
      <c r="A11" s="14" t="n">
        <v>2026</v>
      </c>
      <c r="B11" s="20" t="inlineStr">
        <is>
          <t>Q4</t>
        </is>
      </c>
      <c r="C11" s="17">
        <f>SUM('Variables_And_Log'!O3:Q3)</f>
        <v/>
      </c>
      <c r="D11" s="32">
        <f>E52</f>
        <v/>
      </c>
      <c r="E11" s="17">
        <f>H10</f>
        <v/>
      </c>
      <c r="F11" s="22">
        <f>IF(ISNUMBER(SEARCH("GOOD",D11)),MAX(0,$B$3-E11),0)</f>
        <v/>
      </c>
      <c r="G11" s="18" t="n"/>
      <c r="H11" s="17">
        <f>E11-C11+IF(G11="",F11,G11)</f>
        <v/>
      </c>
    </row>
    <row r="12" ht="28" customHeight="1">
      <c r="A12" s="26" t="n">
        <v>2027</v>
      </c>
      <c r="B12" s="27" t="inlineStr">
        <is>
          <t>Q1</t>
        </is>
      </c>
      <c r="C12" s="28">
        <f>SUM('Variables_And_Log'!F4:H4)</f>
        <v/>
      </c>
      <c r="D12" s="29">
        <f>E53</f>
        <v/>
      </c>
      <c r="E12" s="28">
        <f>H11</f>
        <v/>
      </c>
      <c r="F12" s="30">
        <f>IF(ISNUMBER(SEARCH("GOOD",D12)),MAX(0,$B$3-E12),0)</f>
        <v/>
      </c>
      <c r="G12" s="31" t="n"/>
      <c r="H12" s="28">
        <f>E12-C12+IF(G12="",F12,G12)</f>
        <v/>
      </c>
    </row>
    <row r="13" ht="28" customHeight="1">
      <c r="A13" s="14" t="n">
        <v>2027</v>
      </c>
      <c r="B13" s="20" t="inlineStr">
        <is>
          <t>Q2</t>
        </is>
      </c>
      <c r="C13" s="17">
        <f>SUM('Variables_And_Log'!I4:K4)</f>
        <v/>
      </c>
      <c r="D13" s="32">
        <f>E53</f>
        <v/>
      </c>
      <c r="E13" s="17">
        <f>H12</f>
        <v/>
      </c>
      <c r="F13" s="22">
        <f>IF(ISNUMBER(SEARCH("GOOD",D13)),MAX(0,$B$3-E13),0)</f>
        <v/>
      </c>
      <c r="G13" s="18" t="n"/>
      <c r="H13" s="17">
        <f>E13-C13+IF(G13="",F13,G13)</f>
        <v/>
      </c>
    </row>
    <row r="14" ht="28" customHeight="1">
      <c r="A14" s="14" t="n">
        <v>2027</v>
      </c>
      <c r="B14" s="20" t="inlineStr">
        <is>
          <t>Q3</t>
        </is>
      </c>
      <c r="C14" s="17">
        <f>SUM('Variables_And_Log'!L4:N4)</f>
        <v/>
      </c>
      <c r="D14" s="32">
        <f>E53</f>
        <v/>
      </c>
      <c r="E14" s="17">
        <f>H13</f>
        <v/>
      </c>
      <c r="F14" s="22">
        <f>IF(ISNUMBER(SEARCH("GOOD",D14)),MAX(0,$B$3-E14),0)</f>
        <v/>
      </c>
      <c r="G14" s="18" t="n"/>
      <c r="H14" s="17">
        <f>E14-C14+IF(G14="",F14,G14)</f>
        <v/>
      </c>
    </row>
    <row r="15" ht="28" customHeight="1">
      <c r="A15" s="14" t="n">
        <v>2027</v>
      </c>
      <c r="B15" s="20" t="inlineStr">
        <is>
          <t>Q4</t>
        </is>
      </c>
      <c r="C15" s="17">
        <f>SUM('Variables_And_Log'!O4:Q4)</f>
        <v/>
      </c>
      <c r="D15" s="32">
        <f>E53</f>
        <v/>
      </c>
      <c r="E15" s="17">
        <f>H14</f>
        <v/>
      </c>
      <c r="F15" s="22">
        <f>IF(ISNUMBER(SEARCH("GOOD",D15)),MAX(0,$B$3-E15),0)</f>
        <v/>
      </c>
      <c r="G15" s="18" t="n"/>
      <c r="H15" s="17">
        <f>E15-C15+IF(G15="",F15,G15)</f>
        <v/>
      </c>
    </row>
    <row r="16" ht="28" customHeight="1">
      <c r="A16" s="26" t="n">
        <v>2028</v>
      </c>
      <c r="B16" s="27" t="inlineStr">
        <is>
          <t>Q1</t>
        </is>
      </c>
      <c r="C16" s="28">
        <f>SUM('Variables_And_Log'!F5:H5)</f>
        <v/>
      </c>
      <c r="D16" s="29">
        <f>E54</f>
        <v/>
      </c>
      <c r="E16" s="28">
        <f>H15</f>
        <v/>
      </c>
      <c r="F16" s="30">
        <f>IF(ISNUMBER(SEARCH("GOOD",D16)),MAX(0,$B$3-E16),0)</f>
        <v/>
      </c>
      <c r="G16" s="31" t="n"/>
      <c r="H16" s="28">
        <f>E16-C16+IF(G16="",F16,G16)</f>
        <v/>
      </c>
    </row>
    <row r="17" ht="28" customHeight="1">
      <c r="A17" s="14" t="n">
        <v>2028</v>
      </c>
      <c r="B17" s="20" t="inlineStr">
        <is>
          <t>Q2</t>
        </is>
      </c>
      <c r="C17" s="17">
        <f>SUM('Variables_And_Log'!I5:K5)</f>
        <v/>
      </c>
      <c r="D17" s="32">
        <f>E54</f>
        <v/>
      </c>
      <c r="E17" s="17">
        <f>H16</f>
        <v/>
      </c>
      <c r="F17" s="22">
        <f>IF(ISNUMBER(SEARCH("GOOD",D17)),MAX(0,$B$3-E17),0)</f>
        <v/>
      </c>
      <c r="G17" s="18" t="n"/>
      <c r="H17" s="17">
        <f>E17-C17+IF(G17="",F17,G17)</f>
        <v/>
      </c>
    </row>
    <row r="18" ht="28" customHeight="1">
      <c r="A18" s="14" t="n">
        <v>2028</v>
      </c>
      <c r="B18" s="20" t="inlineStr">
        <is>
          <t>Q3</t>
        </is>
      </c>
      <c r="C18" s="17">
        <f>SUM('Variables_And_Log'!L5:N5)</f>
        <v/>
      </c>
      <c r="D18" s="32">
        <f>E54</f>
        <v/>
      </c>
      <c r="E18" s="17">
        <f>H17</f>
        <v/>
      </c>
      <c r="F18" s="22">
        <f>IF(ISNUMBER(SEARCH("GOOD",D18)),MAX(0,$B$3-E18),0)</f>
        <v/>
      </c>
      <c r="G18" s="18" t="n"/>
      <c r="H18" s="17">
        <f>E18-C18+IF(G18="",F18,G18)</f>
        <v/>
      </c>
    </row>
    <row r="19" ht="28" customHeight="1">
      <c r="A19" s="14" t="n">
        <v>2028</v>
      </c>
      <c r="B19" s="20" t="inlineStr">
        <is>
          <t>Q4</t>
        </is>
      </c>
      <c r="C19" s="17">
        <f>SUM('Variables_And_Log'!O5:Q5)</f>
        <v/>
      </c>
      <c r="D19" s="32">
        <f>E54</f>
        <v/>
      </c>
      <c r="E19" s="17">
        <f>H18</f>
        <v/>
      </c>
      <c r="F19" s="22">
        <f>IF(ISNUMBER(SEARCH("GOOD",D19)),MAX(0,$B$3-E19),0)</f>
        <v/>
      </c>
      <c r="G19" s="18" t="n"/>
      <c r="H19" s="17">
        <f>E19-C19+IF(G19="",F19,G19)</f>
        <v/>
      </c>
    </row>
    <row r="20" ht="28" customHeight="1">
      <c r="A20" s="26" t="n">
        <v>2029</v>
      </c>
      <c r="B20" s="27" t="inlineStr">
        <is>
          <t>Q1</t>
        </is>
      </c>
      <c r="C20" s="28">
        <f>SUM('Variables_And_Log'!F6:H6)</f>
        <v/>
      </c>
      <c r="D20" s="29">
        <f>E55</f>
        <v/>
      </c>
      <c r="E20" s="28">
        <f>H19</f>
        <v/>
      </c>
      <c r="F20" s="30">
        <f>IF(ISNUMBER(SEARCH("GOOD",D20)),MAX(0,$B$3-E20),0)</f>
        <v/>
      </c>
      <c r="G20" s="31" t="n"/>
      <c r="H20" s="28">
        <f>E20-C20+IF(G20="",F20,G20)</f>
        <v/>
      </c>
    </row>
    <row r="21" ht="28" customHeight="1">
      <c r="A21" s="14" t="n">
        <v>2029</v>
      </c>
      <c r="B21" s="20" t="inlineStr">
        <is>
          <t>Q2</t>
        </is>
      </c>
      <c r="C21" s="17">
        <f>SUM('Variables_And_Log'!I6:K6)</f>
        <v/>
      </c>
      <c r="D21" s="32">
        <f>E55</f>
        <v/>
      </c>
      <c r="E21" s="17">
        <f>H20</f>
        <v/>
      </c>
      <c r="F21" s="22">
        <f>IF(ISNUMBER(SEARCH("GOOD",D21)),MAX(0,$B$3-E21),0)</f>
        <v/>
      </c>
      <c r="G21" s="18" t="n"/>
      <c r="H21" s="17">
        <f>E21-C21+IF(G21="",F21,G21)</f>
        <v/>
      </c>
    </row>
    <row r="22" ht="28" customHeight="1">
      <c r="A22" s="14" t="n">
        <v>2029</v>
      </c>
      <c r="B22" s="20" t="inlineStr">
        <is>
          <t>Q3</t>
        </is>
      </c>
      <c r="C22" s="17">
        <f>SUM('Variables_And_Log'!L6:N6)</f>
        <v/>
      </c>
      <c r="D22" s="32">
        <f>E55</f>
        <v/>
      </c>
      <c r="E22" s="17">
        <f>H21</f>
        <v/>
      </c>
      <c r="F22" s="22">
        <f>IF(ISNUMBER(SEARCH("GOOD",D22)),MAX(0,$B$3-E22),0)</f>
        <v/>
      </c>
      <c r="G22" s="18" t="n"/>
      <c r="H22" s="17">
        <f>E22-C22+IF(G22="",F22,G22)</f>
        <v/>
      </c>
    </row>
    <row r="23" ht="28" customHeight="1">
      <c r="A23" s="14" t="n">
        <v>2029</v>
      </c>
      <c r="B23" s="20" t="inlineStr">
        <is>
          <t>Q4</t>
        </is>
      </c>
      <c r="C23" s="17">
        <f>SUM('Variables_And_Log'!O6:Q6)</f>
        <v/>
      </c>
      <c r="D23" s="32">
        <f>E55</f>
        <v/>
      </c>
      <c r="E23" s="17">
        <f>H22</f>
        <v/>
      </c>
      <c r="F23" s="22">
        <f>IF(ISNUMBER(SEARCH("GOOD",D23)),MAX(0,$B$3-E23),0)</f>
        <v/>
      </c>
      <c r="G23" s="18" t="n"/>
      <c r="H23" s="17">
        <f>E23-C23+IF(G23="",F23,G23)</f>
        <v/>
      </c>
    </row>
    <row r="24" ht="28" customHeight="1">
      <c r="A24" s="26" t="n">
        <v>2030</v>
      </c>
      <c r="B24" s="27" t="inlineStr">
        <is>
          <t>Q1</t>
        </is>
      </c>
      <c r="C24" s="28">
        <f>SUM('Variables_And_Log'!F7:H7)</f>
        <v/>
      </c>
      <c r="D24" s="29">
        <f>E56</f>
        <v/>
      </c>
      <c r="E24" s="28">
        <f>H23</f>
        <v/>
      </c>
      <c r="F24" s="30">
        <f>IF(ISNUMBER(SEARCH("GOOD",D24)),MAX(0,$B$3-E24),0)</f>
        <v/>
      </c>
      <c r="G24" s="31" t="n"/>
      <c r="H24" s="28">
        <f>E24-C24+IF(G24="",F24,G24)</f>
        <v/>
      </c>
    </row>
    <row r="25" ht="28" customHeight="1">
      <c r="A25" s="14" t="n">
        <v>2030</v>
      </c>
      <c r="B25" s="20" t="inlineStr">
        <is>
          <t>Q2</t>
        </is>
      </c>
      <c r="C25" s="17">
        <f>SUM('Variables_And_Log'!I7:K7)</f>
        <v/>
      </c>
      <c r="D25" s="32">
        <f>E56</f>
        <v/>
      </c>
      <c r="E25" s="17">
        <f>H24</f>
        <v/>
      </c>
      <c r="F25" s="22">
        <f>IF(ISNUMBER(SEARCH("GOOD",D25)),MAX(0,$B$3-E25),0)</f>
        <v/>
      </c>
      <c r="G25" s="18" t="n"/>
      <c r="H25" s="17">
        <f>E25-C25+IF(G25="",F25,G25)</f>
        <v/>
      </c>
    </row>
    <row r="26" ht="28" customHeight="1">
      <c r="A26" s="14" t="n">
        <v>2030</v>
      </c>
      <c r="B26" s="20" t="inlineStr">
        <is>
          <t>Q3</t>
        </is>
      </c>
      <c r="C26" s="17">
        <f>SUM('Variables_And_Log'!L7:N7)</f>
        <v/>
      </c>
      <c r="D26" s="32">
        <f>E56</f>
        <v/>
      </c>
      <c r="E26" s="17">
        <f>H25</f>
        <v/>
      </c>
      <c r="F26" s="22">
        <f>IF(ISNUMBER(SEARCH("GOOD",D26)),MAX(0,$B$3-E26),0)</f>
        <v/>
      </c>
      <c r="G26" s="18" t="n"/>
      <c r="H26" s="17">
        <f>E26-C26+IF(G26="",F26,G26)</f>
        <v/>
      </c>
    </row>
    <row r="27" ht="28" customHeight="1">
      <c r="A27" s="14" t="n">
        <v>2030</v>
      </c>
      <c r="B27" s="20" t="inlineStr">
        <is>
          <t>Q4</t>
        </is>
      </c>
      <c r="C27" s="17">
        <f>SUM('Variables_And_Log'!O7:Q7)</f>
        <v/>
      </c>
      <c r="D27" s="32">
        <f>E56</f>
        <v/>
      </c>
      <c r="E27" s="17">
        <f>H26</f>
        <v/>
      </c>
      <c r="F27" s="22">
        <f>IF(ISNUMBER(SEARCH("GOOD",D27)),MAX(0,$B$3-E27),0)</f>
        <v/>
      </c>
      <c r="G27" s="18" t="n"/>
      <c r="H27" s="17">
        <f>E27-C27+IF(G27="",F27,G27)</f>
        <v/>
      </c>
    </row>
    <row r="28" ht="28" customHeight="1">
      <c r="A28" s="26" t="n">
        <v>2031</v>
      </c>
      <c r="B28" s="27" t="inlineStr">
        <is>
          <t>Q1</t>
        </is>
      </c>
      <c r="C28" s="28">
        <f>SUM('Variables_And_Log'!F8:H8)</f>
        <v/>
      </c>
      <c r="D28" s="29">
        <f>E57</f>
        <v/>
      </c>
      <c r="E28" s="28">
        <f>H27</f>
        <v/>
      </c>
      <c r="F28" s="30">
        <f>IF(ISNUMBER(SEARCH("GOOD",D28)),MAX(0,$B$3-E28),0)</f>
        <v/>
      </c>
      <c r="G28" s="31" t="n"/>
      <c r="H28" s="28">
        <f>E28-C28+IF(G28="",F28,G28)</f>
        <v/>
      </c>
    </row>
    <row r="29" ht="28" customHeight="1">
      <c r="A29" s="14" t="n">
        <v>2031</v>
      </c>
      <c r="B29" s="20" t="inlineStr">
        <is>
          <t>Q2</t>
        </is>
      </c>
      <c r="C29" s="17">
        <f>SUM('Variables_And_Log'!I8:K8)</f>
        <v/>
      </c>
      <c r="D29" s="32">
        <f>E57</f>
        <v/>
      </c>
      <c r="E29" s="17">
        <f>H28</f>
        <v/>
      </c>
      <c r="F29" s="22">
        <f>IF(ISNUMBER(SEARCH("GOOD",D29)),MAX(0,$B$3-E29),0)</f>
        <v/>
      </c>
      <c r="G29" s="18" t="n"/>
      <c r="H29" s="17">
        <f>E29-C29+IF(G29="",F29,G29)</f>
        <v/>
      </c>
    </row>
    <row r="30" ht="28" customHeight="1">
      <c r="A30" s="14" t="n">
        <v>2031</v>
      </c>
      <c r="B30" s="20" t="inlineStr">
        <is>
          <t>Q3</t>
        </is>
      </c>
      <c r="C30" s="17">
        <f>SUM('Variables_And_Log'!L8:N8)</f>
        <v/>
      </c>
      <c r="D30" s="32">
        <f>E57</f>
        <v/>
      </c>
      <c r="E30" s="17">
        <f>H29</f>
        <v/>
      </c>
      <c r="F30" s="22">
        <f>IF(ISNUMBER(SEARCH("GOOD",D30)),MAX(0,$B$3-E30),0)</f>
        <v/>
      </c>
      <c r="G30" s="18" t="n"/>
      <c r="H30" s="17">
        <f>E30-C30+IF(G30="",F30,G30)</f>
        <v/>
      </c>
    </row>
    <row r="31" ht="28" customHeight="1">
      <c r="A31" s="14" t="n">
        <v>2031</v>
      </c>
      <c r="B31" s="20" t="inlineStr">
        <is>
          <t>Q4</t>
        </is>
      </c>
      <c r="C31" s="17">
        <f>SUM('Variables_And_Log'!O8:Q8)</f>
        <v/>
      </c>
      <c r="D31" s="32">
        <f>E57</f>
        <v/>
      </c>
      <c r="E31" s="17">
        <f>H30</f>
        <v/>
      </c>
      <c r="F31" s="22">
        <f>IF(ISNUMBER(SEARCH("GOOD",D31)),MAX(0,$B$3-E31),0)</f>
        <v/>
      </c>
      <c r="G31" s="18" t="n"/>
      <c r="H31" s="17">
        <f>E31-C31+IF(G31="",F31,G31)</f>
        <v/>
      </c>
    </row>
    <row r="32" ht="28" customHeight="1">
      <c r="A32" s="26" t="n">
        <v>2032</v>
      </c>
      <c r="B32" s="27" t="inlineStr">
        <is>
          <t>Q1</t>
        </is>
      </c>
      <c r="C32" s="28">
        <f>SUM('Variables_And_Log'!F9:H9)</f>
        <v/>
      </c>
      <c r="D32" s="29">
        <f>E58</f>
        <v/>
      </c>
      <c r="E32" s="28">
        <f>H31</f>
        <v/>
      </c>
      <c r="F32" s="30">
        <f>IF(ISNUMBER(SEARCH("GOOD",D32)),MAX(0,$B$3-E32),0)</f>
        <v/>
      </c>
      <c r="G32" s="31" t="n"/>
      <c r="H32" s="28">
        <f>E32-C32+IF(G32="",F32,G32)</f>
        <v/>
      </c>
    </row>
    <row r="33" ht="28" customHeight="1">
      <c r="A33" s="14" t="n">
        <v>2032</v>
      </c>
      <c r="B33" s="20" t="inlineStr">
        <is>
          <t>Q2</t>
        </is>
      </c>
      <c r="C33" s="17">
        <f>SUM('Variables_And_Log'!I9:K9)</f>
        <v/>
      </c>
      <c r="D33" s="32">
        <f>E58</f>
        <v/>
      </c>
      <c r="E33" s="17">
        <f>H32</f>
        <v/>
      </c>
      <c r="F33" s="22">
        <f>IF(ISNUMBER(SEARCH("GOOD",D33)),MAX(0,$B$3-E33),0)</f>
        <v/>
      </c>
      <c r="G33" s="18" t="n"/>
      <c r="H33" s="17">
        <f>E33-C33+IF(G33="",F33,G33)</f>
        <v/>
      </c>
    </row>
    <row r="34" ht="28" customHeight="1">
      <c r="A34" s="14" t="n">
        <v>2032</v>
      </c>
      <c r="B34" s="20" t="inlineStr">
        <is>
          <t>Q3</t>
        </is>
      </c>
      <c r="C34" s="17">
        <f>SUM('Variables_And_Log'!L9:N9)</f>
        <v/>
      </c>
      <c r="D34" s="32">
        <f>E58</f>
        <v/>
      </c>
      <c r="E34" s="17">
        <f>H33</f>
        <v/>
      </c>
      <c r="F34" s="22">
        <f>IF(ISNUMBER(SEARCH("GOOD",D34)),MAX(0,$B$3-E34),0)</f>
        <v/>
      </c>
      <c r="G34" s="18" t="n"/>
      <c r="H34" s="17">
        <f>E34-C34+IF(G34="",F34,G34)</f>
        <v/>
      </c>
    </row>
    <row r="35" ht="28" customHeight="1">
      <c r="A35" s="14" t="n">
        <v>2032</v>
      </c>
      <c r="B35" s="20" t="inlineStr">
        <is>
          <t>Q4</t>
        </is>
      </c>
      <c r="C35" s="17">
        <f>SUM('Variables_And_Log'!O9:Q9)</f>
        <v/>
      </c>
      <c r="D35" s="32">
        <f>E58</f>
        <v/>
      </c>
      <c r="E35" s="17">
        <f>H34</f>
        <v/>
      </c>
      <c r="F35" s="22">
        <f>IF(ISNUMBER(SEARCH("GOOD",D35)),MAX(0,$B$3-E35),0)</f>
        <v/>
      </c>
      <c r="G35" s="18" t="n"/>
      <c r="H35" s="17">
        <f>E35-C35+IF(G35="",F35,G35)</f>
        <v/>
      </c>
    </row>
    <row r="36" ht="28" customHeight="1">
      <c r="A36" s="26" t="n">
        <v>2033</v>
      </c>
      <c r="B36" s="27" t="inlineStr">
        <is>
          <t>Q1</t>
        </is>
      </c>
      <c r="C36" s="28">
        <f>SUM('Variables_And_Log'!F10:H10)</f>
        <v/>
      </c>
      <c r="D36" s="29">
        <f>E59</f>
        <v/>
      </c>
      <c r="E36" s="28">
        <f>H35</f>
        <v/>
      </c>
      <c r="F36" s="30">
        <f>IF(ISNUMBER(SEARCH("GOOD",D36)),MAX(0,$B$3-E36),0)</f>
        <v/>
      </c>
      <c r="G36" s="31" t="n"/>
      <c r="H36" s="28">
        <f>E36-C36+IF(G36="",F36,G36)</f>
        <v/>
      </c>
    </row>
    <row r="37" ht="28" customHeight="1">
      <c r="A37" s="14" t="n">
        <v>2033</v>
      </c>
      <c r="B37" s="20" t="inlineStr">
        <is>
          <t>Q2</t>
        </is>
      </c>
      <c r="C37" s="17">
        <f>SUM('Variables_And_Log'!I10:K10)</f>
        <v/>
      </c>
      <c r="D37" s="32">
        <f>E59</f>
        <v/>
      </c>
      <c r="E37" s="17">
        <f>H36</f>
        <v/>
      </c>
      <c r="F37" s="22">
        <f>IF(ISNUMBER(SEARCH("GOOD",D37)),MAX(0,$B$3-E37),0)</f>
        <v/>
      </c>
      <c r="G37" s="18" t="n"/>
      <c r="H37" s="17">
        <f>E37-C37+IF(G37="",F37,G37)</f>
        <v/>
      </c>
    </row>
    <row r="38" ht="28" customHeight="1">
      <c r="A38" s="14" t="n">
        <v>2033</v>
      </c>
      <c r="B38" s="20" t="inlineStr">
        <is>
          <t>Q3</t>
        </is>
      </c>
      <c r="C38" s="17">
        <f>SUM('Variables_And_Log'!L10:N10)</f>
        <v/>
      </c>
      <c r="D38" s="32">
        <f>E59</f>
        <v/>
      </c>
      <c r="E38" s="17">
        <f>H37</f>
        <v/>
      </c>
      <c r="F38" s="22">
        <f>IF(ISNUMBER(SEARCH("GOOD",D38)),MAX(0,$B$3-E38),0)</f>
        <v/>
      </c>
      <c r="G38" s="18" t="n"/>
      <c r="H38" s="17">
        <f>E38-C38+IF(G38="",F38,G38)</f>
        <v/>
      </c>
    </row>
    <row r="39" ht="28" customHeight="1">
      <c r="A39" s="14" t="n">
        <v>2033</v>
      </c>
      <c r="B39" s="20" t="inlineStr">
        <is>
          <t>Q4</t>
        </is>
      </c>
      <c r="C39" s="17">
        <f>SUM('Variables_And_Log'!O10:Q10)</f>
        <v/>
      </c>
      <c r="D39" s="32">
        <f>E59</f>
        <v/>
      </c>
      <c r="E39" s="17">
        <f>H38</f>
        <v/>
      </c>
      <c r="F39" s="22">
        <f>IF(ISNUMBER(SEARCH("GOOD",D39)),MAX(0,$B$3-E39),0)</f>
        <v/>
      </c>
      <c r="G39" s="18" t="n"/>
      <c r="H39" s="17">
        <f>E39-C39+IF(G39="",F39,G39)</f>
        <v/>
      </c>
    </row>
    <row r="40" ht="28" customHeight="1">
      <c r="A40" s="26" t="n">
        <v>2034</v>
      </c>
      <c r="B40" s="27" t="inlineStr">
        <is>
          <t>Q1</t>
        </is>
      </c>
      <c r="C40" s="28">
        <f>SUM('Variables_And_Log'!F11:H11)</f>
        <v/>
      </c>
      <c r="D40" s="29">
        <f>E60</f>
        <v/>
      </c>
      <c r="E40" s="28">
        <f>H39</f>
        <v/>
      </c>
      <c r="F40" s="30">
        <f>IF(ISNUMBER(SEARCH("GOOD",D40)),MAX(0,$B$3-E40),0)</f>
        <v/>
      </c>
      <c r="G40" s="31" t="n"/>
      <c r="H40" s="28">
        <f>E40-C40+IF(G40="",F40,G40)</f>
        <v/>
      </c>
    </row>
    <row r="41" ht="28" customHeight="1">
      <c r="A41" s="14" t="n">
        <v>2034</v>
      </c>
      <c r="B41" s="20" t="inlineStr">
        <is>
          <t>Q2</t>
        </is>
      </c>
      <c r="C41" s="17">
        <f>SUM('Variables_And_Log'!I11:K11)</f>
        <v/>
      </c>
      <c r="D41" s="32">
        <f>E60</f>
        <v/>
      </c>
      <c r="E41" s="17">
        <f>H40</f>
        <v/>
      </c>
      <c r="F41" s="22">
        <f>IF(ISNUMBER(SEARCH("GOOD",D41)),MAX(0,$B$3-E41),0)</f>
        <v/>
      </c>
      <c r="G41" s="18" t="n"/>
      <c r="H41" s="17">
        <f>E41-C41+IF(G41="",F41,G41)</f>
        <v/>
      </c>
    </row>
    <row r="42" ht="28" customHeight="1">
      <c r="A42" s="14" t="n">
        <v>2034</v>
      </c>
      <c r="B42" s="20" t="inlineStr">
        <is>
          <t>Q3</t>
        </is>
      </c>
      <c r="C42" s="17">
        <f>SUM('Variables_And_Log'!L11:N11)</f>
        <v/>
      </c>
      <c r="D42" s="32">
        <f>E60</f>
        <v/>
      </c>
      <c r="E42" s="17">
        <f>H41</f>
        <v/>
      </c>
      <c r="F42" s="22">
        <f>IF(ISNUMBER(SEARCH("GOOD",D42)),MAX(0,$B$3-E42),0)</f>
        <v/>
      </c>
      <c r="G42" s="18" t="n"/>
      <c r="H42" s="17">
        <f>E42-C42+IF(G42="",F42,G42)</f>
        <v/>
      </c>
    </row>
    <row r="43" ht="28" customHeight="1">
      <c r="A43" s="14" t="n">
        <v>2034</v>
      </c>
      <c r="B43" s="20" t="inlineStr">
        <is>
          <t>Q4</t>
        </is>
      </c>
      <c r="C43" s="17">
        <f>SUM('Variables_And_Log'!O11:Q11)</f>
        <v/>
      </c>
      <c r="D43" s="32">
        <f>E60</f>
        <v/>
      </c>
      <c r="E43" s="17">
        <f>H42</f>
        <v/>
      </c>
      <c r="F43" s="22">
        <f>IF(ISNUMBER(SEARCH("GOOD",D43)),MAX(0,$B$3-E43),0)</f>
        <v/>
      </c>
      <c r="G43" s="18" t="n"/>
      <c r="H43" s="17">
        <f>E43-C43+IF(G43="",F43,G43)</f>
        <v/>
      </c>
    </row>
    <row r="44" ht="28" customHeight="1">
      <c r="A44" s="26" t="n">
        <v>2035</v>
      </c>
      <c r="B44" s="27" t="inlineStr">
        <is>
          <t>Q1</t>
        </is>
      </c>
      <c r="C44" s="28">
        <f>SUM('Variables_And_Log'!F12:H12)</f>
        <v/>
      </c>
      <c r="D44" s="29">
        <f>E61</f>
        <v/>
      </c>
      <c r="E44" s="28">
        <f>H43</f>
        <v/>
      </c>
      <c r="F44" s="30">
        <f>IF(ISNUMBER(SEARCH("GOOD",D44)),MAX(0,$B$3-E44),0)</f>
        <v/>
      </c>
      <c r="G44" s="31" t="n"/>
      <c r="H44" s="28">
        <f>E44-C44+IF(G44="",F44,G44)</f>
        <v/>
      </c>
    </row>
    <row r="45" ht="28" customHeight="1">
      <c r="A45" s="14" t="n">
        <v>2035</v>
      </c>
      <c r="B45" s="20" t="inlineStr">
        <is>
          <t>Q2</t>
        </is>
      </c>
      <c r="C45" s="17">
        <f>SUM('Variables_And_Log'!I12:K12)</f>
        <v/>
      </c>
      <c r="D45" s="32">
        <f>E61</f>
        <v/>
      </c>
      <c r="E45" s="17">
        <f>H44</f>
        <v/>
      </c>
      <c r="F45" s="22">
        <f>IF(ISNUMBER(SEARCH("GOOD",D45)),MAX(0,$B$3-E45),0)</f>
        <v/>
      </c>
      <c r="G45" s="18" t="n"/>
      <c r="H45" s="17">
        <f>E45-C45+IF(G45="",F45,G45)</f>
        <v/>
      </c>
    </row>
    <row r="46" ht="28" customHeight="1">
      <c r="A46" s="14" t="n">
        <v>2035</v>
      </c>
      <c r="B46" s="20" t="inlineStr">
        <is>
          <t>Q3</t>
        </is>
      </c>
      <c r="C46" s="17">
        <f>SUM('Variables_And_Log'!L12:N12)</f>
        <v/>
      </c>
      <c r="D46" s="32">
        <f>E61</f>
        <v/>
      </c>
      <c r="E46" s="17">
        <f>H45</f>
        <v/>
      </c>
      <c r="F46" s="22">
        <f>IF(ISNUMBER(SEARCH("GOOD",D46)),MAX(0,$B$3-E46),0)</f>
        <v/>
      </c>
      <c r="G46" s="18" t="n"/>
      <c r="H46" s="17">
        <f>E46-C46+IF(G46="",F46,G46)</f>
        <v/>
      </c>
    </row>
    <row r="47" ht="28" customHeight="1">
      <c r="A47" s="14" t="n">
        <v>2035</v>
      </c>
      <c r="B47" s="20" t="inlineStr">
        <is>
          <t>Q4</t>
        </is>
      </c>
      <c r="C47" s="17">
        <f>SUM('Variables_And_Log'!O12:Q12)</f>
        <v/>
      </c>
      <c r="D47" s="32">
        <f>E61</f>
        <v/>
      </c>
      <c r="E47" s="17">
        <f>H46</f>
        <v/>
      </c>
      <c r="F47" s="22">
        <f>IF(ISNUMBER(SEARCH("GOOD",D47)),MAX(0,$B$3-E47),0)</f>
        <v/>
      </c>
      <c r="G47" s="18" t="n"/>
      <c r="H47" s="17">
        <f>E47-C47+IF(G47="",F47,G47)</f>
        <v/>
      </c>
    </row>
    <row r="48"/>
    <row r="49"/>
    <row r="50" ht="20" customHeight="1">
      <c r="A50" s="2" t="inlineStr">
        <is>
          <t>ANNUAL SRR HURDLE MODEL — STRATEGIC PACING CHECK (GATES THE QUARTERLY REFILL ABOVE)</t>
        </is>
      </c>
      <c r="B50" s="2" t="n"/>
      <c r="C50" s="2" t="n"/>
      <c r="D50" s="2" t="n"/>
      <c r="E50" s="2" t="n"/>
    </row>
    <row r="51" ht="32" customHeight="1">
      <c r="A51" s="11" t="inlineStr">
        <is>
          <t>Year</t>
        </is>
      </c>
      <c r="B51" s="11" t="inlineStr">
        <is>
          <t>Total Annual Hurdle Rate</t>
        </is>
      </c>
      <c r="C51" s="11" t="inlineStr">
        <is>
          <t>Annual Outflows (W_t)</t>
        </is>
      </c>
      <c r="D51" s="11" t="inlineStr">
        <is>
          <t>Simulated Target Portfolio (P_track)</t>
        </is>
      </c>
      <c r="E51" s="11" t="inlineStr">
        <is>
          <t>Performance Logic Trigger</t>
        </is>
      </c>
    </row>
    <row r="52" ht="28" customHeight="1">
      <c r="A52" s="14" t="n">
        <v>2026</v>
      </c>
      <c r="B52" s="16">
        <f>'Variables_And_Log'!D3</f>
        <v/>
      </c>
      <c r="C52" s="17">
        <f>'Variables_And_Log'!E3</f>
        <v/>
      </c>
      <c r="D52" s="17">
        <f>ROUND(($B$1*B52)-C52,2)</f>
        <v/>
      </c>
      <c r="E52" s="32">
        <f>IF(B$1&gt;=D52,"✅ GOOD: Execute T2065 Rebalance &amp; Rollover to TSP","⚠️ POOR: Freeze Equities. Draw Down G Fund")</f>
        <v/>
      </c>
    </row>
    <row r="53" ht="28" customHeight="1">
      <c r="A53" s="14" t="n">
        <v>2027</v>
      </c>
      <c r="B53" s="16">
        <f>'Variables_And_Log'!D4</f>
        <v/>
      </c>
      <c r="C53" s="17">
        <f>'Variables_And_Log'!E4</f>
        <v/>
      </c>
      <c r="D53" s="17">
        <f>ROUND((D52*B53)-C53,2)</f>
        <v/>
      </c>
      <c r="E53" s="32">
        <f>IF(B$1&gt;=D53,"✅ GOOD: Execute T2065 Rebalance &amp; Rollover to TSP","⚠️ POOR: Freeze Equities. Draw Down G Fund")</f>
        <v/>
      </c>
    </row>
    <row r="54" ht="28" customHeight="1">
      <c r="A54" s="14" t="n">
        <v>2028</v>
      </c>
      <c r="B54" s="16">
        <f>'Variables_And_Log'!D5</f>
        <v/>
      </c>
      <c r="C54" s="17">
        <f>'Variables_And_Log'!E5</f>
        <v/>
      </c>
      <c r="D54" s="17">
        <f>ROUND((D53*B54)-C54,2)</f>
        <v/>
      </c>
      <c r="E54" s="32">
        <f>IF(B$1&gt;=D54,"✅ GOOD: Execute T2065 Rebalance &amp; Rollover to TSP","⚠️ POOR: Freeze Equities. Draw Down G Fund")</f>
        <v/>
      </c>
    </row>
    <row r="55" ht="28" customHeight="1">
      <c r="A55" s="14" t="n">
        <v>2029</v>
      </c>
      <c r="B55" s="16">
        <f>'Variables_And_Log'!D6</f>
        <v/>
      </c>
      <c r="C55" s="17">
        <f>'Variables_And_Log'!E6</f>
        <v/>
      </c>
      <c r="D55" s="17">
        <f>ROUND((D54*B55)-C55,2)</f>
        <v/>
      </c>
      <c r="E55" s="32">
        <f>IF(B$1&gt;=D55,"✅ GOOD: Execute T2065 Rebalance &amp; Rollover to TSP","⚠️ POOR: Freeze Equities. Draw Down G Fund")</f>
        <v/>
      </c>
    </row>
    <row r="56" ht="28" customHeight="1">
      <c r="A56" s="14" t="n">
        <v>2030</v>
      </c>
      <c r="B56" s="16">
        <f>'Variables_And_Log'!D7</f>
        <v/>
      </c>
      <c r="C56" s="17">
        <f>'Variables_And_Log'!E7</f>
        <v/>
      </c>
      <c r="D56" s="17">
        <f>ROUND((D55*B56)-C56,2)</f>
        <v/>
      </c>
      <c r="E56" s="32">
        <f>IF(B$1&gt;=D56,"✅ GOOD: Execute T2065 Rebalance &amp; Rollover to TSP","⚠️ POOR: Freeze Equities. Draw Down G Fund")</f>
        <v/>
      </c>
    </row>
    <row r="57" ht="28" customHeight="1">
      <c r="A57" s="14" t="n">
        <v>2031</v>
      </c>
      <c r="B57" s="16">
        <f>'Variables_And_Log'!D8</f>
        <v/>
      </c>
      <c r="C57" s="17">
        <f>'Variables_And_Log'!E8</f>
        <v/>
      </c>
      <c r="D57" s="17">
        <f>ROUND((D56*B57)-C57,2)</f>
        <v/>
      </c>
      <c r="E57" s="32">
        <f>IF(B$1&gt;=D57,"✅ GOOD: Execute T2065 Rebalance &amp; Rollover to TSP","⚠️ POOR: Freeze Equities. Draw Down G Fund")</f>
        <v/>
      </c>
    </row>
    <row r="58" ht="28" customHeight="1">
      <c r="A58" s="14" t="n">
        <v>2032</v>
      </c>
      <c r="B58" s="16">
        <f>'Variables_And_Log'!D9</f>
        <v/>
      </c>
      <c r="C58" s="17">
        <f>'Variables_And_Log'!E9</f>
        <v/>
      </c>
      <c r="D58" s="17">
        <f>ROUND((D57*B58)-C58,2)</f>
        <v/>
      </c>
      <c r="E58" s="32">
        <f>IF(B$1&gt;=D58,"✅ GOOD: Execute T2065 Rebalance &amp; Rollover to TSP","⚠️ POOR: Freeze Equities. Draw Down G Fund")</f>
        <v/>
      </c>
    </row>
    <row r="59" ht="28" customHeight="1">
      <c r="A59" s="14" t="n">
        <v>2033</v>
      </c>
      <c r="B59" s="16">
        <f>'Variables_And_Log'!D10</f>
        <v/>
      </c>
      <c r="C59" s="17">
        <f>'Variables_And_Log'!E10</f>
        <v/>
      </c>
      <c r="D59" s="17">
        <f>ROUND((D58*B59)-C59,2)</f>
        <v/>
      </c>
      <c r="E59" s="32">
        <f>IF(B$1&gt;=D59,"✅ GOOD: Execute T2065 Rebalance &amp; Rollover to TSP","⚠️ POOR: Freeze Equities. Draw Down G Fund")</f>
        <v/>
      </c>
    </row>
    <row r="60" ht="28" customHeight="1">
      <c r="A60" s="14" t="n">
        <v>2034</v>
      </c>
      <c r="B60" s="16">
        <f>'Variables_And_Log'!D11</f>
        <v/>
      </c>
      <c r="C60" s="17">
        <f>'Variables_And_Log'!E11</f>
        <v/>
      </c>
      <c r="D60" s="17">
        <f>ROUND((D59*B60)-C60,2)</f>
        <v/>
      </c>
      <c r="E60" s="32">
        <f>IF(B$1&gt;=D60,"✅ GOOD: Execute T2065 Rebalance &amp; Rollover to TSP","⚠️ POOR: Freeze Equities. Draw Down G Fund")</f>
        <v/>
      </c>
    </row>
    <row r="61" ht="28" customHeight="1">
      <c r="A61" s="14" t="n">
        <v>2035</v>
      </c>
      <c r="B61" s="16">
        <f>'Variables_And_Log'!D12</f>
        <v/>
      </c>
      <c r="C61" s="17">
        <f>'Variables_And_Log'!E12</f>
        <v/>
      </c>
      <c r="D61" s="17">
        <f>ROUND((D60*B61)-C61,2)</f>
        <v/>
      </c>
      <c r="E61" s="32">
        <f>IF(B$1&gt;=D61,"✅ GOOD: Execute T2065 Rebalance &amp; Rollover to TSP","⚠️ POOR: Freeze Equities. Draw Down G Fund")</f>
        <v/>
      </c>
    </row>
    <row r="62"/>
    <row r="63">
      <c r="A63" s="2" t="inlineStr">
        <is>
          <t>EXTRA CAPACITY INDICATORS</t>
        </is>
      </c>
      <c r="B63" s="2" t="n"/>
      <c r="C63" s="2" t="n"/>
    </row>
    <row r="64">
      <c r="A64" s="24" t="inlineStr">
        <is>
          <t>Your Pre-Tax Rollover Conduit Capacity</t>
        </is>
      </c>
      <c r="B64" s="17">
        <f>'Account_Tracker'!$C$3</f>
        <v/>
      </c>
      <c r="C64" s="21">
        <f>IF(B64&gt;0,"Conduit Open","Conduit Closed")</f>
        <v/>
      </c>
    </row>
    <row r="65"/>
    <row r="66">
      <c r="A66" s="24" t="inlineStr">
        <is>
          <t>TSP Cash Buffer Runway (Months)</t>
        </is>
      </c>
      <c r="B66" s="33">
        <f>IFERROR('Account_Tracker'!$C$2/AVERAGE('Variables_And_Log'!$F$3:$Q$3),"Log Monthly Payments to Calculate")</f>
        <v/>
      </c>
      <c r="C66" s="21">
        <f>IF(ISNUMBER(B66),IF(B66&gt;36,"Safe: 3+ Year Volatility Shield","Caution: Shield Shrinking"),"Awaiting Payment Data")</f>
        <v/>
      </c>
    </row>
    <row r="67">
      <c r="A67" s="19" t="inlineStr">
        <is>
          <t>(Runway uses the average of whichever 2026 monthly TSP payments you've logged so far.)</t>
        </is>
      </c>
    </row>
    <row r="68"/>
    <row r="69">
      <c r="A69" s="2" t="inlineStr">
        <is>
          <t>EMERGENCY LIQUIDITY PROTOCOL — NEXT-DOLLAR PRIORITY ENGINE</t>
        </is>
      </c>
      <c r="B69" s="2" t="n"/>
      <c r="C69" s="2" t="n"/>
      <c r="D69" s="2" t="n"/>
      <c r="E69" s="2" t="n"/>
    </row>
    <row r="70" ht="60" customHeight="1">
      <c r="A70" s="24" t="inlineStr">
        <is>
          <t>Next-Dollar Liquidity Priority</t>
        </is>
      </c>
      <c r="B70" s="34">
        <f>IF('Account_Tracker'!$C$2&gt;0,"🛡️ SHIELD ACTIVE: Continue automated monthly draws directly from the TSP G Fund. Your equity engines are fully insulated from sequence-of-returns risk.",IF(AND('Account_Tracker'!$C$2=0,'Account_Tracker'!$C$8&gt;0),"⚠️ SHIELD BROKEN: TSP G Fund is exhausted. IMMEDIATELY divert monthly checking draws to your Merrill Edge Cash Buffer. This buys next-day liquidity via Bank of America without forced retirement asset sales.",IF(AND('Account_Tracker'!$C$2=0,'Account_Tracker'!$C$8=0,'Account_Tracker'!$C$6&gt;0),"🚨 EMERGENCY LIQUIDATION - STAGE 1: G Fund and Cash Buffers are exhausted. Turn on monthly distributions from Spouse's Current Employer 403b. Their pre-tax employer plan qualifies for the Maryland Pension Exclusion at age 65, making it more tax-efficient than touching your private traditional IRA.","💥 NUCLEAR PROTOCOL - STAGE 2: Absolute liquidity crisis. You are forced to break all shields. Begin selling shares of the 2065 Target Date Funds within your Private Traditional IRAs to fund monthly expenses. Maximize tax withholding at the time of distribution to shield your remaining capital from underpayment penalties.")))</f>
        <v/>
      </c>
      <c r="C70" s="6" t="n"/>
      <c r="D70" s="6" t="n"/>
      <c r="E70" s="6" t="n"/>
    </row>
    <row r="71" ht="20" customHeight="1">
      <c r="B71" s="6" t="n"/>
      <c r="C71" s="6" t="n"/>
      <c r="D71" s="6" t="n"/>
      <c r="E71" s="6" t="n"/>
    </row>
    <row r="72" ht="20" customHeight="1">
      <c r="B72" s="6" t="n"/>
      <c r="C72" s="6" t="n"/>
      <c r="D72" s="6" t="n"/>
      <c r="E72" s="6" t="n"/>
    </row>
    <row r="73"/>
    <row r="74">
      <c r="A74" s="19" t="inlineStr">
        <is>
          <t>Legend: pale-yellow cells are yours to type into; white cells hold formulas -- please don't overwrite them.</t>
        </is>
      </c>
    </row>
  </sheetData>
  <mergeCells count="5">
    <mergeCell ref="A69:E69"/>
    <mergeCell ref="A50:E50"/>
    <mergeCell ref="B70:E72"/>
    <mergeCell ref="A63:C63"/>
    <mergeCell ref="A6:H6"/>
  </mergeCells>
  <conditionalFormatting sqref="B70:B72">
    <cfRule type="expression" priority="1" dxfId="0">
      <formula>'Account_Tracker'!$C$2&gt;0</formula>
    </cfRule>
    <cfRule type="expression" priority="2" dxfId="1">
      <formula>AND('Account_Tracker'!$C$2=0,'Account_Tracker'!$C$8&gt;0)</formula>
    </cfRule>
    <cfRule type="expression" priority="3" dxfId="2">
      <formula>AND('Account_Tracker'!$C$2=0,'Account_Tracker'!$C$8=0)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2026-09-02T01:49:25Z</dcterms:created>
  <dcterms:modified xmlns:dcterms="http://purl.org/dc/terms/" xmlns:xsi="http://www.w3.org/2001/XMLSchema-instance" xsi:type="dcterms:W3CDTF">2026-09-02T01:49:25Z</dcterms:modified>
</cp:coreProperties>
</file>