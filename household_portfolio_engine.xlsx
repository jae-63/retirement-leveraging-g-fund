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6">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3" fillId="0" borderId="0" applyAlignment="1" pivotButton="0" quotePrefix="0" xfId="0">
      <alignment horizontal="right" vertical="top"/>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1" fontId="3" fillId="4" borderId="1" pivotButton="0" quotePrefix="0" xfId="0"/>
    <xf numFmtId="10" fontId="3" fillId="4"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DOCUMENTATION &amp; USER GUIDE</t>
        </is>
      </c>
      <c r="B1" s="1" t="n"/>
    </row>
    <row r="3" ht="20" customHeight="1">
      <c r="A3" s="2" t="inlineStr">
        <is>
          <t>WHY THIS SPREADSHEET EXISTS</t>
        </is>
      </c>
      <c r="B3" s="2" t="n"/>
    </row>
    <row r="4" ht="83" customHeight="1">
      <c r="B4" s="3" t="inlineStr">
        <is>
          <t>This workbook manages a two-bucket, decumulation-phase retirement income strategy built to protect the household from Sequence-of-Returns Risk (SRR) -- the danger that a market downturn early in retirement forces the sale of depreciated stocks to cover monthly living expenses, permanently damaging the portfolio's ability to recover. The strategy rests on three ideas, described below.</t>
        </is>
      </c>
    </row>
    <row r="5" ht="83" customHeight="1">
      <c r="B5" s="3" t="inlineStr">
        <is>
          <t>1. The TSP G Fund as a "free lunch" cash vault. By law, the G Fund earns the yield of intermediate- to long-term Treasuries while never losing principal value and staying instantly liquid. It serves as the household's operating cash account -- monthly bills are paid straight out of it, so equities are never sold to cover routine expenses.</t>
        </is>
      </c>
    </row>
    <row r="6" ht="98" customHeight="1">
      <c r="B6" s="3" t="inlineStr">
        <is>
          <t>2. A dynamic Refill Engine, not a fixed withdrawal rate. Instead of a static 4%-rule, this workbook tracks a real-growth hurdle (COLA layered on a fixed real-growth baseline) year over year. When actual household wealth clears that hurdle, it's safe to harvest equity gains and roll them back into the G Fund to top the shield back up. When wealth falls short, all equity sales freeze and the G Fund alone absorbs spending, giving stocks time to recover.</t>
        </is>
      </c>
    </row>
    <row r="7" ht="83" customHeight="1">
      <c r="B7" s="3" t="inlineStr">
        <is>
          <t>3. Asset location by account. Safe, fixed-income assets are deliberately concentrated in accounts built for stability (the TSP G Fund, a spouse's workplace plan), while private IRAs hold the aggressive growth positions and serve as Roth-conversion conduits -- keeping each spouse's accounts doing the job they're best suited for.</t>
        </is>
      </c>
    </row>
    <row r="9" ht="20" customHeight="1">
      <c r="A9" s="2" t="inlineStr">
        <is>
          <t>HOW THE FOUR TABS WORK TOGETHER</t>
        </is>
      </c>
      <c r="B9" s="2" t="n"/>
    </row>
    <row r="10" ht="53" customHeight="1">
      <c r="B10" s="3" t="inlineStr">
        <is>
          <t>Documentation (this tab) -- Motivation, how-to, a quarterly checklist, the color legend, and a glossary. Nothing here feeds any formula; it's for the humans using the sheet.</t>
        </is>
      </c>
    </row>
    <row r="11" ht="68" customHeight="1">
      <c r="B11" s="3" t="inlineStr">
        <is>
          <t>Variables_And_Log -- Where you log the two things that change constantly: the actual Social Security/Federal COLA each year, and every month's actual TSP -&gt; checking payment. Everything else on this tab is a formula built from those two inputs.</t>
        </is>
      </c>
    </row>
    <row r="12" ht="68" customHeight="1">
      <c r="B12" s="3" t="inlineStr">
        <is>
          <t>Account_Tracker -- A snapshot of every account's live balance, updated by hand whenever you check statements (aim for at least quarterly). This is the single source of truth for household net worth that every other tab's formulas reference.</t>
        </is>
      </c>
    </row>
    <row r="13" ht="98" customHeight="1">
      <c r="B13" s="3" t="inlineStr">
        <is>
          <t>The_Refill_Engine -- The decision-making tab. The Quarterly Refill Engine table is the headline output -- each quarter it tells you how much (if anything) to move from a private pre-tax account into the TSP G Fund. Below that, the Annual SRR Hurdle Model is the strategic gauge that decides GOOD vs. POOR for the year, and the Emergency Liquidity Protocol tells you, in a full-blown crisis, exactly which account to draw from next.</t>
        </is>
      </c>
    </row>
    <row r="15" ht="20" customHeight="1">
      <c r="A15" s="2" t="inlineStr">
        <is>
          <t>YOUR QUARTERLY CHECKLIST</t>
        </is>
      </c>
      <c r="B15" s="2" t="n"/>
    </row>
    <row r="16" ht="23" customHeight="1">
      <c r="A16" s="4" t="inlineStr">
        <is>
          <t>1.</t>
        </is>
      </c>
      <c r="B16" s="3" t="inlineStr">
        <is>
          <t>Update Account_Tracker with current balances from your statements.</t>
        </is>
      </c>
    </row>
    <row r="17" ht="38" customHeight="1">
      <c r="A17" s="4" t="inlineStr">
        <is>
          <t>2.</t>
        </is>
      </c>
      <c r="B17" s="3" t="inlineStr">
        <is>
          <t>Confirm Variables_And_Log has this quarter's three monthly TSP payments logged.</t>
        </is>
      </c>
    </row>
    <row r="18" ht="38" customHeight="1">
      <c r="A18" s="4" t="inlineStr">
        <is>
          <t>3.</t>
        </is>
      </c>
      <c r="B18" s="3" t="inlineStr">
        <is>
          <t>Open The_Refill_Engine and find this quarter's row in the Quarterly Refill Engine table.</t>
        </is>
      </c>
    </row>
    <row r="19" ht="38" customHeight="1">
      <c r="A19" s="4" t="inlineStr">
        <is>
          <t>4.</t>
        </is>
      </c>
      <c r="B19" s="3" t="inlineStr">
        <is>
          <t>Check the "Recommended Transfer This Quarter" cell. If it's $0, do nothing -- the shield is intact or the market hasn't cleared its hurdle yet.</t>
        </is>
      </c>
    </row>
    <row r="20" ht="38" customHeight="1">
      <c r="A20" s="4" t="inlineStr">
        <is>
          <t>5.</t>
        </is>
      </c>
      <c r="B20" s="3" t="inlineStr">
        <is>
          <t>If it's a positive number, execute a pre-tax rollover of that amount from your Conversion Conduit (Traditional IRA) into the TSP G Fund.</t>
        </is>
      </c>
    </row>
    <row r="21" ht="53" customHeight="1">
      <c r="A21" s="4" t="inlineStr">
        <is>
          <t>6.</t>
        </is>
      </c>
      <c r="B21" s="3" t="inlineStr">
        <is>
          <t>Log whatever you actually transferred in the "Actual Transferred" column, even if it matches the recommendation exactly -- leaving it blank makes the sheet assume the recommendation happened.</t>
        </is>
      </c>
    </row>
    <row r="22" ht="38" customHeight="1">
      <c r="A22" s="4" t="inlineStr">
        <is>
          <t>7.</t>
        </is>
      </c>
      <c r="B22" s="3" t="inlineStr">
        <is>
          <t>If the TSP G Fund is ever fully drawn down, check the Emergency Liquidity Protocol block for the next-dollar priority order.</t>
        </is>
      </c>
    </row>
    <row r="24" ht="20" customHeight="1">
      <c r="A24" s="2" t="inlineStr">
        <is>
          <t>COLOR LEGEND</t>
        </is>
      </c>
      <c r="B24" s="2" t="n"/>
    </row>
    <row r="25" ht="23" customHeight="1">
      <c r="A25" s="5" t="n"/>
      <c r="B25" s="3" t="inlineStr">
        <is>
          <t>Pale yellow -- type your own numbers here.</t>
        </is>
      </c>
    </row>
    <row r="26" ht="23" customHeight="1">
      <c r="A26" s="6" t="n"/>
      <c r="B26" s="3" t="inlineStr">
        <is>
          <t>White (no fill) -- a formula; please leave it alone.</t>
        </is>
      </c>
    </row>
    <row r="27" ht="23" customHeight="1">
      <c r="A27" s="7" t="n"/>
      <c r="B27" s="3" t="inlineStr">
        <is>
          <t>Ice blue -- a computed summary or headline total.</t>
        </is>
      </c>
    </row>
    <row r="28" ht="23" customHeight="1">
      <c r="A28" s="8" t="n"/>
      <c r="B28" s="3" t="inlineStr">
        <is>
          <t>Green (Emergency Liquidity Protocol only) -- the TSP G Fund shield is active.</t>
        </is>
      </c>
    </row>
    <row r="29" ht="38" customHeight="1">
      <c r="A29" s="9" t="n"/>
      <c r="B29" s="3" t="inlineStr">
        <is>
          <t>Yellow (Emergency Liquidity Protocol only) -- the G Fund is exhausted; drawing from the cash buffer.</t>
        </is>
      </c>
    </row>
    <row r="30" ht="38" customHeight="1">
      <c r="A30" s="10" t="n"/>
      <c r="B30" s="3" t="inlineStr">
        <is>
          <t>Red (Emergency Liquidity Protocol only) -- both cash shields are exhausted; the household is in an emergency-liquidation stage.</t>
        </is>
      </c>
    </row>
    <row r="32" ht="20" customHeight="1">
      <c r="A32" s="2" t="inlineStr">
        <is>
          <t>GLOSSARY</t>
        </is>
      </c>
      <c r="B32" s="2" t="n"/>
    </row>
    <row r="33">
      <c r="A33" s="11" t="inlineStr">
        <is>
          <t>Term</t>
        </is>
      </c>
      <c r="B33" s="11" t="inlineStr">
        <is>
          <t>Definition</t>
        </is>
      </c>
    </row>
    <row r="34" ht="38" customHeight="1">
      <c r="A34" s="12" t="inlineStr">
        <is>
          <t>COLA</t>
        </is>
      </c>
      <c r="B34" s="13" t="inlineStr">
        <is>
          <t>The federal Cost-of-Living Adjustment, applied annually to Social Security/federal retirement benefits.</t>
        </is>
      </c>
    </row>
    <row r="35" ht="38" customHeight="1">
      <c r="A35" s="12" t="inlineStr">
        <is>
          <t>Hurdle Rate</t>
        </is>
      </c>
      <c r="B35" s="13" t="inlineStr">
        <is>
          <t>The minimum real (inflation-adjusted) growth rate the portfolio needs to clear to be considered "on track" -- COLA layered on a fixed real-growth baseline.</t>
        </is>
      </c>
    </row>
    <row r="36" ht="23" customHeight="1">
      <c r="A36" s="12" t="inlineStr">
        <is>
          <t>W_t / W_q</t>
        </is>
      </c>
      <c r="B36" s="13" t="inlineStr">
        <is>
          <t>Total dollar outflows (withdrawals) for a given year (t) or quarter (q).</t>
        </is>
      </c>
    </row>
    <row r="37" ht="38" customHeight="1">
      <c r="A37" s="12" t="inlineStr">
        <is>
          <t>P_track</t>
        </is>
      </c>
      <c r="B37" s="13" t="inlineStr">
        <is>
          <t>The simulated target portfolio value that the household's actual wealth is measured against each year.</t>
        </is>
      </c>
    </row>
    <row r="38" ht="38" customHeight="1">
      <c r="A38" s="12" t="inlineStr">
        <is>
          <t>SRR</t>
        </is>
      </c>
      <c r="B38" s="13" t="inlineStr">
        <is>
          <t>Sequence-of-Returns Risk -- the risk that a downturn early in retirement forces permanent sale of depreciated assets.</t>
        </is>
      </c>
    </row>
    <row r="39" ht="38" customHeight="1">
      <c r="A39" s="12" t="inlineStr">
        <is>
          <t>TSP G Fund</t>
        </is>
      </c>
      <c r="B39" s="13" t="inlineStr">
        <is>
          <t>The federal Thrift Savings Plan's government-securities fund: principal-protected, instantly liquid, and the household's operating cash vault.</t>
        </is>
      </c>
    </row>
    <row r="40" ht="98" customHeight="1">
      <c r="A40" s="12" t="inlineStr">
        <is>
          <t>Safety Anchor</t>
        </is>
      </c>
      <c r="B40" s="13" t="inlineStr">
        <is>
          <t>The G Fund cash buffer this engine tries to maintain. Set as a step function (on The_Refill_Engine): a higher percentage through the SRR "red zone" -- the first several years of retirement -- then a lower one afterward. That percentage is applied each year to that year's projected wealth (P_track), not to today's balance, so the dollar target still grows within each step instead of staying pinned to today's net worth.</t>
        </is>
      </c>
    </row>
    <row r="41" ht="53" customHeight="1">
      <c r="A41" s="12" t="inlineStr">
        <is>
          <t>Red Zone</t>
        </is>
      </c>
      <c r="B41" s="13" t="inlineStr">
        <is>
          <t>The first several years of retirement, when a bad sequence of market returns does the most lasting damage to a portfolio (SRR risk is heavily front-loaded). The Safety Anchor holds a higher percentage during this window.</t>
        </is>
      </c>
    </row>
    <row r="42" ht="38" customHeight="1">
      <c r="A42" s="12" t="inlineStr">
        <is>
          <t>Conduit</t>
        </is>
      </c>
      <c r="B42" s="13" t="inlineStr">
        <is>
          <t>A Traditional IRA used as a pass-through for pre-tax rollovers back into the TSP.</t>
        </is>
      </c>
    </row>
    <row r="43" ht="38" customHeight="1">
      <c r="A43" s="12" t="inlineStr">
        <is>
          <t>Rollover</t>
        </is>
      </c>
      <c r="B43" s="13" t="inlineStr">
        <is>
          <t>A pre-tax transfer of funds between retirement accounts (e.g. Traditional IRA to TSP) that doesn't trigger a taxable distribution.</t>
        </is>
      </c>
    </row>
    <row r="44" ht="23" customHeight="1">
      <c r="A44" s="12" t="inlineStr">
        <is>
          <t>Allocation Mix</t>
        </is>
      </c>
      <c r="B44" s="13" t="inlineStr">
        <is>
          <t>Each account's share of total household net worth, shown on Account_Tracker.</t>
        </is>
      </c>
    </row>
  </sheetData>
  <mergeCells count="6">
    <mergeCell ref="A24:B24"/>
    <mergeCell ref="A15:B15"/>
    <mergeCell ref="A32:B32"/>
    <mergeCell ref="A1:B1"/>
    <mergeCell ref="A9:B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0" customHeight="1">
      <c r="A1" s="2" t="inlineStr">
        <is>
          <t>HOUSEHOLD VARIABLE LOG — ANNUAL HURDLE INPUTS &amp; MONTHLY TSP → CHECKING PAYMENT LOG (2026-2035)</t>
        </is>
      </c>
      <c r="B1" s="2" t="n"/>
      <c r="C1" s="2" t="n"/>
      <c r="D1" s="2" t="n"/>
      <c r="E1" s="2" t="n"/>
      <c r="F1" s="2" t="n"/>
      <c r="G1" s="2" t="n"/>
      <c r="H1" s="2" t="n"/>
      <c r="I1" s="2" t="n"/>
      <c r="J1" s="2" t="n"/>
      <c r="K1" s="2" t="n"/>
      <c r="L1" s="2" t="n"/>
      <c r="M1" s="2" t="n"/>
      <c r="N1" s="2" t="n"/>
      <c r="O1" s="2" t="n"/>
      <c r="P1" s="2" t="n"/>
      <c r="Q1" s="2" t="n"/>
    </row>
    <row r="2" ht="32" customHeight="1">
      <c r="A2" s="11" t="inlineStr">
        <is>
          <t>Date / Year</t>
        </is>
      </c>
      <c r="B2" s="11" t="inlineStr">
        <is>
          <t>Actual Federal COLA (C_i)</t>
        </is>
      </c>
      <c r="C2" s="11" t="inlineStr">
        <is>
          <t>Rule of Four Hurdle Baseline</t>
        </is>
      </c>
      <c r="D2" s="11" t="inlineStr">
        <is>
          <t>Total Annual Hurdle Rate</t>
        </is>
      </c>
      <c r="E2" s="11" t="inlineStr">
        <is>
          <t>Total Annual Outflows (W_t)</t>
        </is>
      </c>
      <c r="F2" s="11" t="inlineStr">
        <is>
          <t>Jan</t>
        </is>
      </c>
      <c r="G2" s="11" t="inlineStr">
        <is>
          <t>Feb</t>
        </is>
      </c>
      <c r="H2" s="11" t="inlineStr">
        <is>
          <t>Mar</t>
        </is>
      </c>
      <c r="I2" s="11" t="inlineStr">
        <is>
          <t>Apr</t>
        </is>
      </c>
      <c r="J2" s="11" t="inlineStr">
        <is>
          <t>May</t>
        </is>
      </c>
      <c r="K2" s="11" t="inlineStr">
        <is>
          <t>Jun</t>
        </is>
      </c>
      <c r="L2" s="11" t="inlineStr">
        <is>
          <t>Jul</t>
        </is>
      </c>
      <c r="M2" s="11" t="inlineStr">
        <is>
          <t>Aug</t>
        </is>
      </c>
      <c r="N2" s="11" t="inlineStr">
        <is>
          <t>Sep</t>
        </is>
      </c>
      <c r="O2" s="11" t="inlineStr">
        <is>
          <t>Oct</t>
        </is>
      </c>
      <c r="P2" s="11" t="inlineStr">
        <is>
          <t>Nov</t>
        </is>
      </c>
      <c r="Q2" s="11" t="inlineStr">
        <is>
          <t>Dec</t>
        </is>
      </c>
    </row>
    <row r="3">
      <c r="A3" s="14" t="n">
        <v>2026</v>
      </c>
      <c r="B3" s="15" t="n">
        <v>0.026</v>
      </c>
      <c r="C3" s="16" t="n">
        <v>0.02</v>
      </c>
      <c r="D3" s="16">
        <f>(1+B3)*(1+C3)</f>
        <v/>
      </c>
      <c r="E3" s="17">
        <f>SUM(F3:Q3)</f>
        <v/>
      </c>
      <c r="F3" s="18" t="n"/>
      <c r="G3" s="18" t="n"/>
      <c r="H3" s="18" t="n"/>
      <c r="I3" s="18" t="n"/>
      <c r="J3" s="18" t="n"/>
      <c r="K3" s="18" t="n"/>
      <c r="L3" s="18" t="n"/>
      <c r="M3" s="18" t="n"/>
      <c r="N3" s="18" t="n"/>
      <c r="O3" s="18" t="n"/>
      <c r="P3" s="18" t="n"/>
      <c r="Q3" s="18" t="n"/>
    </row>
    <row r="4">
      <c r="A4" s="14" t="n">
        <v>2027</v>
      </c>
      <c r="B4" s="15" t="n"/>
      <c r="C4" s="16" t="n">
        <v>0.02</v>
      </c>
      <c r="D4" s="16">
        <f>(1+B4)*(1+C4)</f>
        <v/>
      </c>
      <c r="E4" s="17">
        <f>SUM(F4:Q4)</f>
        <v/>
      </c>
      <c r="F4" s="18" t="n"/>
      <c r="G4" s="18" t="n"/>
      <c r="H4" s="18" t="n"/>
      <c r="I4" s="18" t="n"/>
      <c r="J4" s="18" t="n"/>
      <c r="K4" s="18" t="n"/>
      <c r="L4" s="18" t="n"/>
      <c r="M4" s="18" t="n"/>
      <c r="N4" s="18" t="n"/>
      <c r="O4" s="18" t="n"/>
      <c r="P4" s="18" t="n"/>
      <c r="Q4" s="18" t="n"/>
    </row>
    <row r="5">
      <c r="A5" s="14" t="n">
        <v>2028</v>
      </c>
      <c r="B5" s="15" t="n"/>
      <c r="C5" s="16" t="n">
        <v>0.02</v>
      </c>
      <c r="D5" s="16">
        <f>(1+B5)*(1+C5)</f>
        <v/>
      </c>
      <c r="E5" s="17">
        <f>SUM(F5:Q5)</f>
        <v/>
      </c>
      <c r="F5" s="18" t="n"/>
      <c r="G5" s="18" t="n"/>
      <c r="H5" s="18" t="n"/>
      <c r="I5" s="18" t="n"/>
      <c r="J5" s="18" t="n"/>
      <c r="K5" s="18" t="n"/>
      <c r="L5" s="18" t="n"/>
      <c r="M5" s="18" t="n"/>
      <c r="N5" s="18" t="n"/>
      <c r="O5" s="18" t="n"/>
      <c r="P5" s="18" t="n"/>
      <c r="Q5" s="18" t="n"/>
    </row>
    <row r="6">
      <c r="A6" s="14" t="n">
        <v>2029</v>
      </c>
      <c r="B6" s="15" t="n"/>
      <c r="C6" s="16" t="n">
        <v>0.02</v>
      </c>
      <c r="D6" s="16">
        <f>(1+B6)*(1+C6)</f>
        <v/>
      </c>
      <c r="E6" s="17">
        <f>SUM(F6:Q6)</f>
        <v/>
      </c>
      <c r="F6" s="18" t="n"/>
      <c r="G6" s="18" t="n"/>
      <c r="H6" s="18" t="n"/>
      <c r="I6" s="18" t="n"/>
      <c r="J6" s="18" t="n"/>
      <c r="K6" s="18" t="n"/>
      <c r="L6" s="18" t="n"/>
      <c r="M6" s="18" t="n"/>
      <c r="N6" s="18" t="n"/>
      <c r="O6" s="18" t="n"/>
      <c r="P6" s="18" t="n"/>
      <c r="Q6" s="18" t="n"/>
    </row>
    <row r="7">
      <c r="A7" s="14" t="n">
        <v>2030</v>
      </c>
      <c r="B7" s="15" t="n"/>
      <c r="C7" s="16" t="n">
        <v>0.02</v>
      </c>
      <c r="D7" s="16">
        <f>(1+B7)*(1+C7)</f>
        <v/>
      </c>
      <c r="E7" s="17">
        <f>SUM(F7:Q7)</f>
        <v/>
      </c>
      <c r="F7" s="18" t="n"/>
      <c r="G7" s="18" t="n"/>
      <c r="H7" s="18" t="n"/>
      <c r="I7" s="18" t="n"/>
      <c r="J7" s="18" t="n"/>
      <c r="K7" s="18" t="n"/>
      <c r="L7" s="18" t="n"/>
      <c r="M7" s="18" t="n"/>
      <c r="N7" s="18" t="n"/>
      <c r="O7" s="18" t="n"/>
      <c r="P7" s="18" t="n"/>
      <c r="Q7" s="18" t="n"/>
    </row>
    <row r="8">
      <c r="A8" s="14" t="n">
        <v>2031</v>
      </c>
      <c r="B8" s="15" t="n"/>
      <c r="C8" s="16" t="n">
        <v>0.02</v>
      </c>
      <c r="D8" s="16">
        <f>(1+B8)*(1+C8)</f>
        <v/>
      </c>
      <c r="E8" s="17">
        <f>SUM(F8:Q8)</f>
        <v/>
      </c>
      <c r="F8" s="18" t="n"/>
      <c r="G8" s="18" t="n"/>
      <c r="H8" s="18" t="n"/>
      <c r="I8" s="18" t="n"/>
      <c r="J8" s="18" t="n"/>
      <c r="K8" s="18" t="n"/>
      <c r="L8" s="18" t="n"/>
      <c r="M8" s="18" t="n"/>
      <c r="N8" s="18" t="n"/>
      <c r="O8" s="18" t="n"/>
      <c r="P8" s="18" t="n"/>
      <c r="Q8" s="18" t="n"/>
    </row>
    <row r="9">
      <c r="A9" s="14" t="n">
        <v>2032</v>
      </c>
      <c r="B9" s="15" t="n"/>
      <c r="C9" s="16" t="n">
        <v>0.02</v>
      </c>
      <c r="D9" s="16">
        <f>(1+B9)*(1+C9)</f>
        <v/>
      </c>
      <c r="E9" s="17">
        <f>SUM(F9:Q9)</f>
        <v/>
      </c>
      <c r="F9" s="18" t="n"/>
      <c r="G9" s="18" t="n"/>
      <c r="H9" s="18" t="n"/>
      <c r="I9" s="18" t="n"/>
      <c r="J9" s="18" t="n"/>
      <c r="K9" s="18" t="n"/>
      <c r="L9" s="18" t="n"/>
      <c r="M9" s="18" t="n"/>
      <c r="N9" s="18" t="n"/>
      <c r="O9" s="18" t="n"/>
      <c r="P9" s="18" t="n"/>
      <c r="Q9" s="18" t="n"/>
    </row>
    <row r="10">
      <c r="A10" s="14" t="n">
        <v>2033</v>
      </c>
      <c r="B10" s="15" t="n"/>
      <c r="C10" s="16" t="n">
        <v>0.02</v>
      </c>
      <c r="D10" s="16">
        <f>(1+B10)*(1+C10)</f>
        <v/>
      </c>
      <c r="E10" s="17">
        <f>SUM(F10:Q10)</f>
        <v/>
      </c>
      <c r="F10" s="18" t="n"/>
      <c r="G10" s="18" t="n"/>
      <c r="H10" s="18" t="n"/>
      <c r="I10" s="18" t="n"/>
      <c r="J10" s="18" t="n"/>
      <c r="K10" s="18" t="n"/>
      <c r="L10" s="18" t="n"/>
      <c r="M10" s="18" t="n"/>
      <c r="N10" s="18" t="n"/>
      <c r="O10" s="18" t="n"/>
      <c r="P10" s="18" t="n"/>
      <c r="Q10" s="18" t="n"/>
    </row>
    <row r="11">
      <c r="A11" s="14" t="n">
        <v>2034</v>
      </c>
      <c r="B11" s="15" t="n"/>
      <c r="C11" s="16" t="n">
        <v>0.02</v>
      </c>
      <c r="D11" s="16">
        <f>(1+B11)*(1+C11)</f>
        <v/>
      </c>
      <c r="E11" s="17">
        <f>SUM(F11:Q11)</f>
        <v/>
      </c>
      <c r="F11" s="18" t="n"/>
      <c r="G11" s="18" t="n"/>
      <c r="H11" s="18" t="n"/>
      <c r="I11" s="18" t="n"/>
      <c r="J11" s="18" t="n"/>
      <c r="K11" s="18" t="n"/>
      <c r="L11" s="18" t="n"/>
      <c r="M11" s="18" t="n"/>
      <c r="N11" s="18" t="n"/>
      <c r="O11" s="18" t="n"/>
      <c r="P11" s="18" t="n"/>
      <c r="Q11" s="18" t="n"/>
    </row>
    <row r="12">
      <c r="A12" s="14" t="n">
        <v>2035</v>
      </c>
      <c r="B12" s="15" t="n"/>
      <c r="C12" s="16" t="n">
        <v>0.02</v>
      </c>
      <c r="D12" s="16">
        <f>(1+B12)*(1+C12)</f>
        <v/>
      </c>
      <c r="E12" s="17">
        <f>SUM(F12:Q12)</f>
        <v/>
      </c>
      <c r="F12" s="18" t="n"/>
      <c r="G12" s="18" t="n"/>
      <c r="H12" s="18" t="n"/>
      <c r="I12" s="18" t="n"/>
      <c r="J12" s="18" t="n"/>
      <c r="K12" s="18" t="n"/>
      <c r="L12" s="18" t="n"/>
      <c r="M12" s="18" t="n"/>
      <c r="N12" s="18" t="n"/>
      <c r="O12" s="18" t="n"/>
      <c r="P12" s="18" t="n"/>
      <c r="Q12" s="18" t="n"/>
    </row>
    <row r="13"/>
    <row r="14">
      <c r="A14" s="19"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t>
        </is>
      </c>
    </row>
    <row r="15">
      <c r="A15" s="19" t="inlineStr">
        <is>
          <t>Legend: pale-yellow cells are yours to type into; white cells hold formulas -- please don't overwrite them.</t>
        </is>
      </c>
    </row>
  </sheetData>
  <mergeCells count="1">
    <mergeCell ref="A1:Q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15" customWidth="1" min="3" max="3"/>
    <col width="17" customWidth="1" min="4" max="4"/>
  </cols>
  <sheetData>
    <row r="1" ht="24" customHeight="1">
      <c r="A1" s="11" t="inlineStr">
        <is>
          <t>Asset Pool</t>
        </is>
      </c>
      <c r="B1" s="11" t="inlineStr">
        <is>
          <t>Custodian / Platform</t>
        </is>
      </c>
      <c r="C1" s="11" t="inlineStr">
        <is>
          <t>Live Balance</t>
        </is>
      </c>
      <c r="D1" s="11" t="inlineStr">
        <is>
          <t>Allocation Mix</t>
        </is>
      </c>
    </row>
    <row r="2">
      <c r="A2" s="20" t="inlineStr">
        <is>
          <t>Your Pre-Tax Account</t>
        </is>
      </c>
      <c r="B2" s="20" t="inlineStr">
        <is>
          <t>TSP G Fund</t>
        </is>
      </c>
      <c r="C2" s="18" t="n">
        <v>100000</v>
      </c>
      <c r="D2" s="16">
        <f>C2/$C$9</f>
        <v/>
      </c>
    </row>
    <row r="3">
      <c r="A3" s="20" t="inlineStr">
        <is>
          <t>Your Conversion Conduit</t>
        </is>
      </c>
      <c r="B3" s="20" t="inlineStr">
        <is>
          <t>Private Traditional IRA</t>
        </is>
      </c>
      <c r="C3" s="18" t="n">
        <v>100000</v>
      </c>
      <c r="D3" s="16">
        <f>C3/$C$9</f>
        <v/>
      </c>
    </row>
    <row r="4">
      <c r="A4" s="20" t="inlineStr">
        <is>
          <t>Your Tax-Free Growth</t>
        </is>
      </c>
      <c r="B4" s="20" t="inlineStr">
        <is>
          <t>Private Roth IRA</t>
        </is>
      </c>
      <c r="C4" s="18" t="n">
        <v>100000</v>
      </c>
      <c r="D4" s="16">
        <f>C4/$C$9</f>
        <v/>
      </c>
    </row>
    <row r="5">
      <c r="A5" s="20" t="inlineStr">
        <is>
          <t>Spouse's Tax-Free Growth</t>
        </is>
      </c>
      <c r="B5" s="20" t="inlineStr">
        <is>
          <t>Private Roth IRA</t>
        </is>
      </c>
      <c r="C5" s="18" t="n">
        <v>100000</v>
      </c>
      <c r="D5" s="16">
        <f>C5/$C$9</f>
        <v/>
      </c>
    </row>
    <row r="6">
      <c r="A6" s="20" t="inlineStr">
        <is>
          <t>Spouse's Safe Pre-Tax Account</t>
        </is>
      </c>
      <c r="B6" s="20" t="inlineStr">
        <is>
          <t>Current Employer 403b (Active + Reverse Rollover)</t>
        </is>
      </c>
      <c r="C6" s="18" t="n">
        <v>100000</v>
      </c>
      <c r="D6" s="16">
        <f>C6/$C$9</f>
        <v/>
      </c>
    </row>
    <row r="7">
      <c r="A7" s="20" t="inlineStr">
        <is>
          <t>Spouse's Conversion Conduit</t>
        </is>
      </c>
      <c r="B7" s="20" t="inlineStr">
        <is>
          <t>Private Traditional IRA</t>
        </is>
      </c>
      <c r="C7" s="18" t="n">
        <v>100000</v>
      </c>
      <c r="D7" s="16">
        <f>C7/$C$9</f>
        <v/>
      </c>
    </row>
    <row r="8">
      <c r="A8" s="20" t="inlineStr">
        <is>
          <t>Short-Term Liquidity</t>
        </is>
      </c>
      <c r="B8" s="20" t="inlineStr">
        <is>
          <t>Merrill Edge Cash Buffer</t>
        </is>
      </c>
      <c r="C8" s="18" t="n">
        <v>100000</v>
      </c>
      <c r="D8" s="16">
        <f>C8/$C$9</f>
        <v/>
      </c>
    </row>
    <row r="9">
      <c r="A9" s="21" t="inlineStr">
        <is>
          <t>Total Household Net Worth</t>
        </is>
      </c>
      <c r="B9" s="21" t="n"/>
      <c r="C9" s="22">
        <f>SUM(C2:C8)</f>
        <v/>
      </c>
      <c r="D9" s="23">
        <f>C9/C9</f>
        <v/>
      </c>
    </row>
    <row r="10">
      <c r="A10" s="19" t="inlineStr">
        <is>
          <t>Note: Live Balance figures are a manually-updated snapshot -- refresh them whenever you check statements, ideally at least quarterly, so Tab 3's projections start from an accurate baseline.</t>
        </is>
      </c>
    </row>
    <row r="11">
      <c r="A11" s="19" t="inlineStr">
        <is>
          <t>Legend: pale-yellow cells are yours to type into; white cells hold formulas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9"/>
  <sheetViews>
    <sheetView showGridLines="1" workbookViewId="0">
      <pane ySplit="12" topLeftCell="A13"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 width="22" customWidth="1" min="9" max="9"/>
  </cols>
  <sheetData>
    <row r="1">
      <c r="A1" s="21" t="inlineStr">
        <is>
          <t>Total Current Actual Wealth</t>
        </is>
      </c>
      <c r="B1" s="22">
        <f>'Account_Tracker'!$C$9</f>
        <v/>
      </c>
    </row>
    <row r="2">
      <c r="A2" s="24" t="inlineStr">
        <is>
          <t>Retirement Start Year</t>
        </is>
      </c>
      <c r="B2" s="25" t="n">
        <v>2026</v>
      </c>
    </row>
    <row r="3">
      <c r="A3" s="24" t="inlineStr">
        <is>
          <t>Age at Retirement Start</t>
        </is>
      </c>
      <c r="B3" s="25" t="n">
        <v>63</v>
      </c>
    </row>
    <row r="4">
      <c r="A4" s="24" t="inlineStr">
        <is>
          <t>Red Zone Length (Years)</t>
        </is>
      </c>
      <c r="B4" s="25" t="n">
        <v>10</v>
      </c>
    </row>
    <row r="5">
      <c r="A5" s="24" t="inlineStr">
        <is>
          <t>Red Zone Target % (elevated, early retirement)</t>
        </is>
      </c>
      <c r="B5" s="26" t="n">
        <v>0.35</v>
      </c>
    </row>
    <row r="6">
      <c r="A6" s="24" t="inlineStr">
        <is>
          <t>Post-Red-Zone Target % (steady state)</t>
        </is>
      </c>
      <c r="B6" s="26" t="n">
        <v>0.25</v>
      </c>
    </row>
    <row r="7">
      <c r="A7" s="21" t="inlineStr">
        <is>
          <t>Current Safety Anchor %</t>
        </is>
      </c>
      <c r="B7" s="23">
        <f>IF(YEAR(TODAY())-B2&lt;B4,B5,B6)</f>
        <v/>
      </c>
    </row>
    <row r="8">
      <c r="A8" s="21" t="inlineStr">
        <is>
          <t>Target Safety Anchor Balance Today ($)</t>
        </is>
      </c>
      <c r="B8" s="22">
        <f>B1*B7</f>
        <v/>
      </c>
    </row>
    <row r="9">
      <c r="A9" s="19" t="inlineStr">
        <is>
          <t>Sequence-of-Returns-Risk (SRR) Shield: this engine uses a step function, not a flat percentage. SRR is concentrated in the first years of retirement (the "red zone"), when a bad sequence does the most damage; research supports holding a larger safety anchor through that window, then a smaller one afterward, rather than raising it further with age. Each year's actual target -- Red Zone % while Age &lt; Age-at-Retirement + Red-Zone-Length, Post-Red-Zone % after -- is computed per-year in the Annual SRR Hurdle Model below and drives the Quarterly Refill Engine's 'Target Safety Anchor Balance (This Year)' column. Row 8 above is only a live snapshot of today's applicable target for quick reference.</t>
        </is>
      </c>
    </row>
    <row r="10"/>
    <row r="11" ht="20" customHeight="1">
      <c r="A11" s="2" t="inlineStr">
        <is>
          <t>THE QUARTERLY REFILL ENGINE — PRIMARY OUTPUT: RECOMMENDED TSP TOP-UP TRANSFER</t>
        </is>
      </c>
      <c r="B11" s="2" t="n"/>
      <c r="C11" s="2" t="n"/>
      <c r="D11" s="2" t="n"/>
      <c r="E11" s="2" t="n"/>
      <c r="F11" s="2" t="n"/>
      <c r="G11" s="2" t="n"/>
      <c r="H11" s="2" t="n"/>
      <c r="I11" s="2" t="n"/>
    </row>
    <row r="12" ht="40" customHeight="1">
      <c r="A12" s="11" t="inlineStr">
        <is>
          <t>Year</t>
        </is>
      </c>
      <c r="B12" s="11" t="inlineStr">
        <is>
          <t>Quarter</t>
        </is>
      </c>
      <c r="C12" s="11" t="inlineStr">
        <is>
          <t>Quarterly Outflow (W_q)</t>
        </is>
      </c>
      <c r="D12" s="11" t="inlineStr">
        <is>
          <t>Annual Performance Signal</t>
        </is>
      </c>
      <c r="E12" s="11" t="inlineStr">
        <is>
          <t>G Fund Balance (Start of Qtr)</t>
        </is>
      </c>
      <c r="F12" s="11" t="inlineStr">
        <is>
          <t>Recommended Transfer This Quarter</t>
        </is>
      </c>
      <c r="G12" s="11" t="inlineStr">
        <is>
          <t>Actual Transferred (Log It Here)</t>
        </is>
      </c>
      <c r="H12" s="11" t="inlineStr">
        <is>
          <t>G Fund Balance (End of Qtr, Projected)</t>
        </is>
      </c>
      <c r="I12" s="11" t="inlineStr">
        <is>
          <t>Target Safety Anchor Balance (This Year)</t>
        </is>
      </c>
    </row>
    <row r="13" ht="28" customHeight="1">
      <c r="A13" s="27" t="n">
        <v>2026</v>
      </c>
      <c r="B13" s="28" t="inlineStr">
        <is>
          <t>Q1</t>
        </is>
      </c>
      <c r="C13" s="29">
        <f>SUM('Variables_And_Log'!F3:H3)</f>
        <v/>
      </c>
      <c r="D13" s="30">
        <f>E57</f>
        <v/>
      </c>
      <c r="E13" s="29">
        <f>'Account_Tracker'!$C$2</f>
        <v/>
      </c>
      <c r="F13" s="31">
        <f>IF(ISNUMBER(SEARCH("GOOD",D13)),MAX(0,I13-E13),0)</f>
        <v/>
      </c>
      <c r="G13" s="32" t="n"/>
      <c r="H13" s="29">
        <f>E13-C13+IF(G13="",F13,G13)</f>
        <v/>
      </c>
      <c r="I13" s="29">
        <f>F57*D57</f>
        <v/>
      </c>
    </row>
    <row r="14" ht="28" customHeight="1">
      <c r="A14" s="14" t="n">
        <v>2026</v>
      </c>
      <c r="B14" s="20" t="inlineStr">
        <is>
          <t>Q2</t>
        </is>
      </c>
      <c r="C14" s="17">
        <f>SUM('Variables_And_Log'!I3:K3)</f>
        <v/>
      </c>
      <c r="D14" s="33">
        <f>E57</f>
        <v/>
      </c>
      <c r="E14" s="17">
        <f>H13</f>
        <v/>
      </c>
      <c r="F14" s="22">
        <f>IF(ISNUMBER(SEARCH("GOOD",D14)),MAX(0,I14-E14),0)</f>
        <v/>
      </c>
      <c r="G14" s="18" t="n"/>
      <c r="H14" s="17">
        <f>E14-C14+IF(G14="",F14,G14)</f>
        <v/>
      </c>
      <c r="I14" s="17">
        <f>F57*D57</f>
        <v/>
      </c>
    </row>
    <row r="15" ht="28" customHeight="1">
      <c r="A15" s="14" t="n">
        <v>2026</v>
      </c>
      <c r="B15" s="20" t="inlineStr">
        <is>
          <t>Q3</t>
        </is>
      </c>
      <c r="C15" s="17">
        <f>SUM('Variables_And_Log'!L3:N3)</f>
        <v/>
      </c>
      <c r="D15" s="33">
        <f>E57</f>
        <v/>
      </c>
      <c r="E15" s="17">
        <f>H14</f>
        <v/>
      </c>
      <c r="F15" s="22">
        <f>IF(ISNUMBER(SEARCH("GOOD",D15)),MAX(0,I15-E15),0)</f>
        <v/>
      </c>
      <c r="G15" s="18" t="n"/>
      <c r="H15" s="17">
        <f>E15-C15+IF(G15="",F15,G15)</f>
        <v/>
      </c>
      <c r="I15" s="17">
        <f>F57*D57</f>
        <v/>
      </c>
    </row>
    <row r="16" ht="28" customHeight="1">
      <c r="A16" s="14" t="n">
        <v>2026</v>
      </c>
      <c r="B16" s="20" t="inlineStr">
        <is>
          <t>Q4</t>
        </is>
      </c>
      <c r="C16" s="17">
        <f>SUM('Variables_And_Log'!O3:Q3)</f>
        <v/>
      </c>
      <c r="D16" s="33">
        <f>E57</f>
        <v/>
      </c>
      <c r="E16" s="17">
        <f>H15</f>
        <v/>
      </c>
      <c r="F16" s="22">
        <f>IF(ISNUMBER(SEARCH("GOOD",D16)),MAX(0,I16-E16),0)</f>
        <v/>
      </c>
      <c r="G16" s="18" t="n"/>
      <c r="H16" s="17">
        <f>E16-C16+IF(G16="",F16,G16)</f>
        <v/>
      </c>
      <c r="I16" s="17">
        <f>F57*D57</f>
        <v/>
      </c>
    </row>
    <row r="17" ht="28" customHeight="1">
      <c r="A17" s="27" t="n">
        <v>2027</v>
      </c>
      <c r="B17" s="28" t="inlineStr">
        <is>
          <t>Q1</t>
        </is>
      </c>
      <c r="C17" s="29">
        <f>SUM('Variables_And_Log'!F4:H4)</f>
        <v/>
      </c>
      <c r="D17" s="30">
        <f>E58</f>
        <v/>
      </c>
      <c r="E17" s="29">
        <f>H16</f>
        <v/>
      </c>
      <c r="F17" s="31">
        <f>IF(ISNUMBER(SEARCH("GOOD",D17)),MAX(0,I17-E17),0)</f>
        <v/>
      </c>
      <c r="G17" s="32" t="n"/>
      <c r="H17" s="29">
        <f>E17-C17+IF(G17="",F17,G17)</f>
        <v/>
      </c>
      <c r="I17" s="29">
        <f>F58*D58</f>
        <v/>
      </c>
    </row>
    <row r="18" ht="28" customHeight="1">
      <c r="A18" s="14" t="n">
        <v>2027</v>
      </c>
      <c r="B18" s="20" t="inlineStr">
        <is>
          <t>Q2</t>
        </is>
      </c>
      <c r="C18" s="17">
        <f>SUM('Variables_And_Log'!I4:K4)</f>
        <v/>
      </c>
      <c r="D18" s="33">
        <f>E58</f>
        <v/>
      </c>
      <c r="E18" s="17">
        <f>H17</f>
        <v/>
      </c>
      <c r="F18" s="22">
        <f>IF(ISNUMBER(SEARCH("GOOD",D18)),MAX(0,I18-E18),0)</f>
        <v/>
      </c>
      <c r="G18" s="18" t="n"/>
      <c r="H18" s="17">
        <f>E18-C18+IF(G18="",F18,G18)</f>
        <v/>
      </c>
      <c r="I18" s="17">
        <f>F58*D58</f>
        <v/>
      </c>
    </row>
    <row r="19" ht="28" customHeight="1">
      <c r="A19" s="14" t="n">
        <v>2027</v>
      </c>
      <c r="B19" s="20" t="inlineStr">
        <is>
          <t>Q3</t>
        </is>
      </c>
      <c r="C19" s="17">
        <f>SUM('Variables_And_Log'!L4:N4)</f>
        <v/>
      </c>
      <c r="D19" s="33">
        <f>E58</f>
        <v/>
      </c>
      <c r="E19" s="17">
        <f>H18</f>
        <v/>
      </c>
      <c r="F19" s="22">
        <f>IF(ISNUMBER(SEARCH("GOOD",D19)),MAX(0,I19-E19),0)</f>
        <v/>
      </c>
      <c r="G19" s="18" t="n"/>
      <c r="H19" s="17">
        <f>E19-C19+IF(G19="",F19,G19)</f>
        <v/>
      </c>
      <c r="I19" s="17">
        <f>F58*D58</f>
        <v/>
      </c>
    </row>
    <row r="20" ht="28" customHeight="1">
      <c r="A20" s="14" t="n">
        <v>2027</v>
      </c>
      <c r="B20" s="20" t="inlineStr">
        <is>
          <t>Q4</t>
        </is>
      </c>
      <c r="C20" s="17">
        <f>SUM('Variables_And_Log'!O4:Q4)</f>
        <v/>
      </c>
      <c r="D20" s="33">
        <f>E58</f>
        <v/>
      </c>
      <c r="E20" s="17">
        <f>H19</f>
        <v/>
      </c>
      <c r="F20" s="22">
        <f>IF(ISNUMBER(SEARCH("GOOD",D20)),MAX(0,I20-E20),0)</f>
        <v/>
      </c>
      <c r="G20" s="18" t="n"/>
      <c r="H20" s="17">
        <f>E20-C20+IF(G20="",F20,G20)</f>
        <v/>
      </c>
      <c r="I20" s="17">
        <f>F58*D58</f>
        <v/>
      </c>
    </row>
    <row r="21" ht="28" customHeight="1">
      <c r="A21" s="27" t="n">
        <v>2028</v>
      </c>
      <c r="B21" s="28" t="inlineStr">
        <is>
          <t>Q1</t>
        </is>
      </c>
      <c r="C21" s="29">
        <f>SUM('Variables_And_Log'!F5:H5)</f>
        <v/>
      </c>
      <c r="D21" s="30">
        <f>E59</f>
        <v/>
      </c>
      <c r="E21" s="29">
        <f>H20</f>
        <v/>
      </c>
      <c r="F21" s="31">
        <f>IF(ISNUMBER(SEARCH("GOOD",D21)),MAX(0,I21-E21),0)</f>
        <v/>
      </c>
      <c r="G21" s="32" t="n"/>
      <c r="H21" s="29">
        <f>E21-C21+IF(G21="",F21,G21)</f>
        <v/>
      </c>
      <c r="I21" s="29">
        <f>F59*D59</f>
        <v/>
      </c>
    </row>
    <row r="22" ht="28" customHeight="1">
      <c r="A22" s="14" t="n">
        <v>2028</v>
      </c>
      <c r="B22" s="20" t="inlineStr">
        <is>
          <t>Q2</t>
        </is>
      </c>
      <c r="C22" s="17">
        <f>SUM('Variables_And_Log'!I5:K5)</f>
        <v/>
      </c>
      <c r="D22" s="33">
        <f>E59</f>
        <v/>
      </c>
      <c r="E22" s="17">
        <f>H21</f>
        <v/>
      </c>
      <c r="F22" s="22">
        <f>IF(ISNUMBER(SEARCH("GOOD",D22)),MAX(0,I22-E22),0)</f>
        <v/>
      </c>
      <c r="G22" s="18" t="n"/>
      <c r="H22" s="17">
        <f>E22-C22+IF(G22="",F22,G22)</f>
        <v/>
      </c>
      <c r="I22" s="17">
        <f>F59*D59</f>
        <v/>
      </c>
    </row>
    <row r="23" ht="28" customHeight="1">
      <c r="A23" s="14" t="n">
        <v>2028</v>
      </c>
      <c r="B23" s="20" t="inlineStr">
        <is>
          <t>Q3</t>
        </is>
      </c>
      <c r="C23" s="17">
        <f>SUM('Variables_And_Log'!L5:N5)</f>
        <v/>
      </c>
      <c r="D23" s="33">
        <f>E59</f>
        <v/>
      </c>
      <c r="E23" s="17">
        <f>H22</f>
        <v/>
      </c>
      <c r="F23" s="22">
        <f>IF(ISNUMBER(SEARCH("GOOD",D23)),MAX(0,I23-E23),0)</f>
        <v/>
      </c>
      <c r="G23" s="18" t="n"/>
      <c r="H23" s="17">
        <f>E23-C23+IF(G23="",F23,G23)</f>
        <v/>
      </c>
      <c r="I23" s="17">
        <f>F59*D59</f>
        <v/>
      </c>
    </row>
    <row r="24" ht="28" customHeight="1">
      <c r="A24" s="14" t="n">
        <v>2028</v>
      </c>
      <c r="B24" s="20" t="inlineStr">
        <is>
          <t>Q4</t>
        </is>
      </c>
      <c r="C24" s="17">
        <f>SUM('Variables_And_Log'!O5:Q5)</f>
        <v/>
      </c>
      <c r="D24" s="33">
        <f>E59</f>
        <v/>
      </c>
      <c r="E24" s="17">
        <f>H23</f>
        <v/>
      </c>
      <c r="F24" s="22">
        <f>IF(ISNUMBER(SEARCH("GOOD",D24)),MAX(0,I24-E24),0)</f>
        <v/>
      </c>
      <c r="G24" s="18" t="n"/>
      <c r="H24" s="17">
        <f>E24-C24+IF(G24="",F24,G24)</f>
        <v/>
      </c>
      <c r="I24" s="17">
        <f>F59*D59</f>
        <v/>
      </c>
    </row>
    <row r="25" ht="28" customHeight="1">
      <c r="A25" s="27" t="n">
        <v>2029</v>
      </c>
      <c r="B25" s="28" t="inlineStr">
        <is>
          <t>Q1</t>
        </is>
      </c>
      <c r="C25" s="29">
        <f>SUM('Variables_And_Log'!F6:H6)</f>
        <v/>
      </c>
      <c r="D25" s="30">
        <f>E60</f>
        <v/>
      </c>
      <c r="E25" s="29">
        <f>H24</f>
        <v/>
      </c>
      <c r="F25" s="31">
        <f>IF(ISNUMBER(SEARCH("GOOD",D25)),MAX(0,I25-E25),0)</f>
        <v/>
      </c>
      <c r="G25" s="32" t="n"/>
      <c r="H25" s="29">
        <f>E25-C25+IF(G25="",F25,G25)</f>
        <v/>
      </c>
      <c r="I25" s="29">
        <f>F60*D60</f>
        <v/>
      </c>
    </row>
    <row r="26" ht="28" customHeight="1">
      <c r="A26" s="14" t="n">
        <v>2029</v>
      </c>
      <c r="B26" s="20" t="inlineStr">
        <is>
          <t>Q2</t>
        </is>
      </c>
      <c r="C26" s="17">
        <f>SUM('Variables_And_Log'!I6:K6)</f>
        <v/>
      </c>
      <c r="D26" s="33">
        <f>E60</f>
        <v/>
      </c>
      <c r="E26" s="17">
        <f>H25</f>
        <v/>
      </c>
      <c r="F26" s="22">
        <f>IF(ISNUMBER(SEARCH("GOOD",D26)),MAX(0,I26-E26),0)</f>
        <v/>
      </c>
      <c r="G26" s="18" t="n"/>
      <c r="H26" s="17">
        <f>E26-C26+IF(G26="",F26,G26)</f>
        <v/>
      </c>
      <c r="I26" s="17">
        <f>F60*D60</f>
        <v/>
      </c>
    </row>
    <row r="27" ht="28" customHeight="1">
      <c r="A27" s="14" t="n">
        <v>2029</v>
      </c>
      <c r="B27" s="20" t="inlineStr">
        <is>
          <t>Q3</t>
        </is>
      </c>
      <c r="C27" s="17">
        <f>SUM('Variables_And_Log'!L6:N6)</f>
        <v/>
      </c>
      <c r="D27" s="33">
        <f>E60</f>
        <v/>
      </c>
      <c r="E27" s="17">
        <f>H26</f>
        <v/>
      </c>
      <c r="F27" s="22">
        <f>IF(ISNUMBER(SEARCH("GOOD",D27)),MAX(0,I27-E27),0)</f>
        <v/>
      </c>
      <c r="G27" s="18" t="n"/>
      <c r="H27" s="17">
        <f>E27-C27+IF(G27="",F27,G27)</f>
        <v/>
      </c>
      <c r="I27" s="17">
        <f>F60*D60</f>
        <v/>
      </c>
    </row>
    <row r="28" ht="28" customHeight="1">
      <c r="A28" s="14" t="n">
        <v>2029</v>
      </c>
      <c r="B28" s="20" t="inlineStr">
        <is>
          <t>Q4</t>
        </is>
      </c>
      <c r="C28" s="17">
        <f>SUM('Variables_And_Log'!O6:Q6)</f>
        <v/>
      </c>
      <c r="D28" s="33">
        <f>E60</f>
        <v/>
      </c>
      <c r="E28" s="17">
        <f>H27</f>
        <v/>
      </c>
      <c r="F28" s="22">
        <f>IF(ISNUMBER(SEARCH("GOOD",D28)),MAX(0,I28-E28),0)</f>
        <v/>
      </c>
      <c r="G28" s="18" t="n"/>
      <c r="H28" s="17">
        <f>E28-C28+IF(G28="",F28,G28)</f>
        <v/>
      </c>
      <c r="I28" s="17">
        <f>F60*D60</f>
        <v/>
      </c>
    </row>
    <row r="29" ht="28" customHeight="1">
      <c r="A29" s="27" t="n">
        <v>2030</v>
      </c>
      <c r="B29" s="28" t="inlineStr">
        <is>
          <t>Q1</t>
        </is>
      </c>
      <c r="C29" s="29">
        <f>SUM('Variables_And_Log'!F7:H7)</f>
        <v/>
      </c>
      <c r="D29" s="30">
        <f>E61</f>
        <v/>
      </c>
      <c r="E29" s="29">
        <f>H28</f>
        <v/>
      </c>
      <c r="F29" s="31">
        <f>IF(ISNUMBER(SEARCH("GOOD",D29)),MAX(0,I29-E29),0)</f>
        <v/>
      </c>
      <c r="G29" s="32" t="n"/>
      <c r="H29" s="29">
        <f>E29-C29+IF(G29="",F29,G29)</f>
        <v/>
      </c>
      <c r="I29" s="29">
        <f>F61*D61</f>
        <v/>
      </c>
    </row>
    <row r="30" ht="28" customHeight="1">
      <c r="A30" s="14" t="n">
        <v>2030</v>
      </c>
      <c r="B30" s="20" t="inlineStr">
        <is>
          <t>Q2</t>
        </is>
      </c>
      <c r="C30" s="17">
        <f>SUM('Variables_And_Log'!I7:K7)</f>
        <v/>
      </c>
      <c r="D30" s="33">
        <f>E61</f>
        <v/>
      </c>
      <c r="E30" s="17">
        <f>H29</f>
        <v/>
      </c>
      <c r="F30" s="22">
        <f>IF(ISNUMBER(SEARCH("GOOD",D30)),MAX(0,I30-E30),0)</f>
        <v/>
      </c>
      <c r="G30" s="18" t="n"/>
      <c r="H30" s="17">
        <f>E30-C30+IF(G30="",F30,G30)</f>
        <v/>
      </c>
      <c r="I30" s="17">
        <f>F61*D61</f>
        <v/>
      </c>
    </row>
    <row r="31" ht="28" customHeight="1">
      <c r="A31" s="14" t="n">
        <v>2030</v>
      </c>
      <c r="B31" s="20" t="inlineStr">
        <is>
          <t>Q3</t>
        </is>
      </c>
      <c r="C31" s="17">
        <f>SUM('Variables_And_Log'!L7:N7)</f>
        <v/>
      </c>
      <c r="D31" s="33">
        <f>E61</f>
        <v/>
      </c>
      <c r="E31" s="17">
        <f>H30</f>
        <v/>
      </c>
      <c r="F31" s="22">
        <f>IF(ISNUMBER(SEARCH("GOOD",D31)),MAX(0,I31-E31),0)</f>
        <v/>
      </c>
      <c r="G31" s="18" t="n"/>
      <c r="H31" s="17">
        <f>E31-C31+IF(G31="",F31,G31)</f>
        <v/>
      </c>
      <c r="I31" s="17">
        <f>F61*D61</f>
        <v/>
      </c>
    </row>
    <row r="32" ht="28" customHeight="1">
      <c r="A32" s="14" t="n">
        <v>2030</v>
      </c>
      <c r="B32" s="20" t="inlineStr">
        <is>
          <t>Q4</t>
        </is>
      </c>
      <c r="C32" s="17">
        <f>SUM('Variables_And_Log'!O7:Q7)</f>
        <v/>
      </c>
      <c r="D32" s="33">
        <f>E61</f>
        <v/>
      </c>
      <c r="E32" s="17">
        <f>H31</f>
        <v/>
      </c>
      <c r="F32" s="22">
        <f>IF(ISNUMBER(SEARCH("GOOD",D32)),MAX(0,I32-E32),0)</f>
        <v/>
      </c>
      <c r="G32" s="18" t="n"/>
      <c r="H32" s="17">
        <f>E32-C32+IF(G32="",F32,G32)</f>
        <v/>
      </c>
      <c r="I32" s="17">
        <f>F61*D61</f>
        <v/>
      </c>
    </row>
    <row r="33" ht="28" customHeight="1">
      <c r="A33" s="27" t="n">
        <v>2031</v>
      </c>
      <c r="B33" s="28" t="inlineStr">
        <is>
          <t>Q1</t>
        </is>
      </c>
      <c r="C33" s="29">
        <f>SUM('Variables_And_Log'!F8:H8)</f>
        <v/>
      </c>
      <c r="D33" s="30">
        <f>E62</f>
        <v/>
      </c>
      <c r="E33" s="29">
        <f>H32</f>
        <v/>
      </c>
      <c r="F33" s="31">
        <f>IF(ISNUMBER(SEARCH("GOOD",D33)),MAX(0,I33-E33),0)</f>
        <v/>
      </c>
      <c r="G33" s="32" t="n"/>
      <c r="H33" s="29">
        <f>E33-C33+IF(G33="",F33,G33)</f>
        <v/>
      </c>
      <c r="I33" s="29">
        <f>F62*D62</f>
        <v/>
      </c>
    </row>
    <row r="34" ht="28" customHeight="1">
      <c r="A34" s="14" t="n">
        <v>2031</v>
      </c>
      <c r="B34" s="20" t="inlineStr">
        <is>
          <t>Q2</t>
        </is>
      </c>
      <c r="C34" s="17">
        <f>SUM('Variables_And_Log'!I8:K8)</f>
        <v/>
      </c>
      <c r="D34" s="33">
        <f>E62</f>
        <v/>
      </c>
      <c r="E34" s="17">
        <f>H33</f>
        <v/>
      </c>
      <c r="F34" s="22">
        <f>IF(ISNUMBER(SEARCH("GOOD",D34)),MAX(0,I34-E34),0)</f>
        <v/>
      </c>
      <c r="G34" s="18" t="n"/>
      <c r="H34" s="17">
        <f>E34-C34+IF(G34="",F34,G34)</f>
        <v/>
      </c>
      <c r="I34" s="17">
        <f>F62*D62</f>
        <v/>
      </c>
    </row>
    <row r="35" ht="28" customHeight="1">
      <c r="A35" s="14" t="n">
        <v>2031</v>
      </c>
      <c r="B35" s="20" t="inlineStr">
        <is>
          <t>Q3</t>
        </is>
      </c>
      <c r="C35" s="17">
        <f>SUM('Variables_And_Log'!L8:N8)</f>
        <v/>
      </c>
      <c r="D35" s="33">
        <f>E62</f>
        <v/>
      </c>
      <c r="E35" s="17">
        <f>H34</f>
        <v/>
      </c>
      <c r="F35" s="22">
        <f>IF(ISNUMBER(SEARCH("GOOD",D35)),MAX(0,I35-E35),0)</f>
        <v/>
      </c>
      <c r="G35" s="18" t="n"/>
      <c r="H35" s="17">
        <f>E35-C35+IF(G35="",F35,G35)</f>
        <v/>
      </c>
      <c r="I35" s="17">
        <f>F62*D62</f>
        <v/>
      </c>
    </row>
    <row r="36" ht="28" customHeight="1">
      <c r="A36" s="14" t="n">
        <v>2031</v>
      </c>
      <c r="B36" s="20" t="inlineStr">
        <is>
          <t>Q4</t>
        </is>
      </c>
      <c r="C36" s="17">
        <f>SUM('Variables_And_Log'!O8:Q8)</f>
        <v/>
      </c>
      <c r="D36" s="33">
        <f>E62</f>
        <v/>
      </c>
      <c r="E36" s="17">
        <f>H35</f>
        <v/>
      </c>
      <c r="F36" s="22">
        <f>IF(ISNUMBER(SEARCH("GOOD",D36)),MAX(0,I36-E36),0)</f>
        <v/>
      </c>
      <c r="G36" s="18" t="n"/>
      <c r="H36" s="17">
        <f>E36-C36+IF(G36="",F36,G36)</f>
        <v/>
      </c>
      <c r="I36" s="17">
        <f>F62*D62</f>
        <v/>
      </c>
    </row>
    <row r="37" ht="28" customHeight="1">
      <c r="A37" s="27" t="n">
        <v>2032</v>
      </c>
      <c r="B37" s="28" t="inlineStr">
        <is>
          <t>Q1</t>
        </is>
      </c>
      <c r="C37" s="29">
        <f>SUM('Variables_And_Log'!F9:H9)</f>
        <v/>
      </c>
      <c r="D37" s="30">
        <f>E63</f>
        <v/>
      </c>
      <c r="E37" s="29">
        <f>H36</f>
        <v/>
      </c>
      <c r="F37" s="31">
        <f>IF(ISNUMBER(SEARCH("GOOD",D37)),MAX(0,I37-E37),0)</f>
        <v/>
      </c>
      <c r="G37" s="32" t="n"/>
      <c r="H37" s="29">
        <f>E37-C37+IF(G37="",F37,G37)</f>
        <v/>
      </c>
      <c r="I37" s="29">
        <f>F63*D63</f>
        <v/>
      </c>
    </row>
    <row r="38" ht="28" customHeight="1">
      <c r="A38" s="14" t="n">
        <v>2032</v>
      </c>
      <c r="B38" s="20" t="inlineStr">
        <is>
          <t>Q2</t>
        </is>
      </c>
      <c r="C38" s="17">
        <f>SUM('Variables_And_Log'!I9:K9)</f>
        <v/>
      </c>
      <c r="D38" s="33">
        <f>E63</f>
        <v/>
      </c>
      <c r="E38" s="17">
        <f>H37</f>
        <v/>
      </c>
      <c r="F38" s="22">
        <f>IF(ISNUMBER(SEARCH("GOOD",D38)),MAX(0,I38-E38),0)</f>
        <v/>
      </c>
      <c r="G38" s="18" t="n"/>
      <c r="H38" s="17">
        <f>E38-C38+IF(G38="",F38,G38)</f>
        <v/>
      </c>
      <c r="I38" s="17">
        <f>F63*D63</f>
        <v/>
      </c>
    </row>
    <row r="39" ht="28" customHeight="1">
      <c r="A39" s="14" t="n">
        <v>2032</v>
      </c>
      <c r="B39" s="20" t="inlineStr">
        <is>
          <t>Q3</t>
        </is>
      </c>
      <c r="C39" s="17">
        <f>SUM('Variables_And_Log'!L9:N9)</f>
        <v/>
      </c>
      <c r="D39" s="33">
        <f>E63</f>
        <v/>
      </c>
      <c r="E39" s="17">
        <f>H38</f>
        <v/>
      </c>
      <c r="F39" s="22">
        <f>IF(ISNUMBER(SEARCH("GOOD",D39)),MAX(0,I39-E39),0)</f>
        <v/>
      </c>
      <c r="G39" s="18" t="n"/>
      <c r="H39" s="17">
        <f>E39-C39+IF(G39="",F39,G39)</f>
        <v/>
      </c>
      <c r="I39" s="17">
        <f>F63*D63</f>
        <v/>
      </c>
    </row>
    <row r="40" ht="28" customHeight="1">
      <c r="A40" s="14" t="n">
        <v>2032</v>
      </c>
      <c r="B40" s="20" t="inlineStr">
        <is>
          <t>Q4</t>
        </is>
      </c>
      <c r="C40" s="17">
        <f>SUM('Variables_And_Log'!O9:Q9)</f>
        <v/>
      </c>
      <c r="D40" s="33">
        <f>E63</f>
        <v/>
      </c>
      <c r="E40" s="17">
        <f>H39</f>
        <v/>
      </c>
      <c r="F40" s="22">
        <f>IF(ISNUMBER(SEARCH("GOOD",D40)),MAX(0,I40-E40),0)</f>
        <v/>
      </c>
      <c r="G40" s="18" t="n"/>
      <c r="H40" s="17">
        <f>E40-C40+IF(G40="",F40,G40)</f>
        <v/>
      </c>
      <c r="I40" s="17">
        <f>F63*D63</f>
        <v/>
      </c>
    </row>
    <row r="41" ht="28" customHeight="1">
      <c r="A41" s="27" t="n">
        <v>2033</v>
      </c>
      <c r="B41" s="28" t="inlineStr">
        <is>
          <t>Q1</t>
        </is>
      </c>
      <c r="C41" s="29">
        <f>SUM('Variables_And_Log'!F10:H10)</f>
        <v/>
      </c>
      <c r="D41" s="30">
        <f>E64</f>
        <v/>
      </c>
      <c r="E41" s="29">
        <f>H40</f>
        <v/>
      </c>
      <c r="F41" s="31">
        <f>IF(ISNUMBER(SEARCH("GOOD",D41)),MAX(0,I41-E41),0)</f>
        <v/>
      </c>
      <c r="G41" s="32" t="n"/>
      <c r="H41" s="29">
        <f>E41-C41+IF(G41="",F41,G41)</f>
        <v/>
      </c>
      <c r="I41" s="29">
        <f>F64*D64</f>
        <v/>
      </c>
    </row>
    <row r="42" ht="28" customHeight="1">
      <c r="A42" s="14" t="n">
        <v>2033</v>
      </c>
      <c r="B42" s="20" t="inlineStr">
        <is>
          <t>Q2</t>
        </is>
      </c>
      <c r="C42" s="17">
        <f>SUM('Variables_And_Log'!I10:K10)</f>
        <v/>
      </c>
      <c r="D42" s="33">
        <f>E64</f>
        <v/>
      </c>
      <c r="E42" s="17">
        <f>H41</f>
        <v/>
      </c>
      <c r="F42" s="22">
        <f>IF(ISNUMBER(SEARCH("GOOD",D42)),MAX(0,I42-E42),0)</f>
        <v/>
      </c>
      <c r="G42" s="18" t="n"/>
      <c r="H42" s="17">
        <f>E42-C42+IF(G42="",F42,G42)</f>
        <v/>
      </c>
      <c r="I42" s="17">
        <f>F64*D64</f>
        <v/>
      </c>
    </row>
    <row r="43" ht="28" customHeight="1">
      <c r="A43" s="14" t="n">
        <v>2033</v>
      </c>
      <c r="B43" s="20" t="inlineStr">
        <is>
          <t>Q3</t>
        </is>
      </c>
      <c r="C43" s="17">
        <f>SUM('Variables_And_Log'!L10:N10)</f>
        <v/>
      </c>
      <c r="D43" s="33">
        <f>E64</f>
        <v/>
      </c>
      <c r="E43" s="17">
        <f>H42</f>
        <v/>
      </c>
      <c r="F43" s="22">
        <f>IF(ISNUMBER(SEARCH("GOOD",D43)),MAX(0,I43-E43),0)</f>
        <v/>
      </c>
      <c r="G43" s="18" t="n"/>
      <c r="H43" s="17">
        <f>E43-C43+IF(G43="",F43,G43)</f>
        <v/>
      </c>
      <c r="I43" s="17">
        <f>F64*D64</f>
        <v/>
      </c>
    </row>
    <row r="44" ht="28" customHeight="1">
      <c r="A44" s="14" t="n">
        <v>2033</v>
      </c>
      <c r="B44" s="20" t="inlineStr">
        <is>
          <t>Q4</t>
        </is>
      </c>
      <c r="C44" s="17">
        <f>SUM('Variables_And_Log'!O10:Q10)</f>
        <v/>
      </c>
      <c r="D44" s="33">
        <f>E64</f>
        <v/>
      </c>
      <c r="E44" s="17">
        <f>H43</f>
        <v/>
      </c>
      <c r="F44" s="22">
        <f>IF(ISNUMBER(SEARCH("GOOD",D44)),MAX(0,I44-E44),0)</f>
        <v/>
      </c>
      <c r="G44" s="18" t="n"/>
      <c r="H44" s="17">
        <f>E44-C44+IF(G44="",F44,G44)</f>
        <v/>
      </c>
      <c r="I44" s="17">
        <f>F64*D64</f>
        <v/>
      </c>
    </row>
    <row r="45" ht="28" customHeight="1">
      <c r="A45" s="27" t="n">
        <v>2034</v>
      </c>
      <c r="B45" s="28" t="inlineStr">
        <is>
          <t>Q1</t>
        </is>
      </c>
      <c r="C45" s="29">
        <f>SUM('Variables_And_Log'!F11:H11)</f>
        <v/>
      </c>
      <c r="D45" s="30">
        <f>E65</f>
        <v/>
      </c>
      <c r="E45" s="29">
        <f>H44</f>
        <v/>
      </c>
      <c r="F45" s="31">
        <f>IF(ISNUMBER(SEARCH("GOOD",D45)),MAX(0,I45-E45),0)</f>
        <v/>
      </c>
      <c r="G45" s="32" t="n"/>
      <c r="H45" s="29">
        <f>E45-C45+IF(G45="",F45,G45)</f>
        <v/>
      </c>
      <c r="I45" s="29">
        <f>F65*D65</f>
        <v/>
      </c>
    </row>
    <row r="46" ht="28" customHeight="1">
      <c r="A46" s="14" t="n">
        <v>2034</v>
      </c>
      <c r="B46" s="20" t="inlineStr">
        <is>
          <t>Q2</t>
        </is>
      </c>
      <c r="C46" s="17">
        <f>SUM('Variables_And_Log'!I11:K11)</f>
        <v/>
      </c>
      <c r="D46" s="33">
        <f>E65</f>
        <v/>
      </c>
      <c r="E46" s="17">
        <f>H45</f>
        <v/>
      </c>
      <c r="F46" s="22">
        <f>IF(ISNUMBER(SEARCH("GOOD",D46)),MAX(0,I46-E46),0)</f>
        <v/>
      </c>
      <c r="G46" s="18" t="n"/>
      <c r="H46" s="17">
        <f>E46-C46+IF(G46="",F46,G46)</f>
        <v/>
      </c>
      <c r="I46" s="17">
        <f>F65*D65</f>
        <v/>
      </c>
    </row>
    <row r="47" ht="28" customHeight="1">
      <c r="A47" s="14" t="n">
        <v>2034</v>
      </c>
      <c r="B47" s="20" t="inlineStr">
        <is>
          <t>Q3</t>
        </is>
      </c>
      <c r="C47" s="17">
        <f>SUM('Variables_And_Log'!L11:N11)</f>
        <v/>
      </c>
      <c r="D47" s="33">
        <f>E65</f>
        <v/>
      </c>
      <c r="E47" s="17">
        <f>H46</f>
        <v/>
      </c>
      <c r="F47" s="22">
        <f>IF(ISNUMBER(SEARCH("GOOD",D47)),MAX(0,I47-E47),0)</f>
        <v/>
      </c>
      <c r="G47" s="18" t="n"/>
      <c r="H47" s="17">
        <f>E47-C47+IF(G47="",F47,G47)</f>
        <v/>
      </c>
      <c r="I47" s="17">
        <f>F65*D65</f>
        <v/>
      </c>
    </row>
    <row r="48" ht="28" customHeight="1">
      <c r="A48" s="14" t="n">
        <v>2034</v>
      </c>
      <c r="B48" s="20" t="inlineStr">
        <is>
          <t>Q4</t>
        </is>
      </c>
      <c r="C48" s="17">
        <f>SUM('Variables_And_Log'!O11:Q11)</f>
        <v/>
      </c>
      <c r="D48" s="33">
        <f>E65</f>
        <v/>
      </c>
      <c r="E48" s="17">
        <f>H47</f>
        <v/>
      </c>
      <c r="F48" s="22">
        <f>IF(ISNUMBER(SEARCH("GOOD",D48)),MAX(0,I48-E48),0)</f>
        <v/>
      </c>
      <c r="G48" s="18" t="n"/>
      <c r="H48" s="17">
        <f>E48-C48+IF(G48="",F48,G48)</f>
        <v/>
      </c>
      <c r="I48" s="17">
        <f>F65*D65</f>
        <v/>
      </c>
    </row>
    <row r="49" ht="28" customHeight="1">
      <c r="A49" s="27" t="n">
        <v>2035</v>
      </c>
      <c r="B49" s="28" t="inlineStr">
        <is>
          <t>Q1</t>
        </is>
      </c>
      <c r="C49" s="29">
        <f>SUM('Variables_And_Log'!F12:H12)</f>
        <v/>
      </c>
      <c r="D49" s="30">
        <f>E66</f>
        <v/>
      </c>
      <c r="E49" s="29">
        <f>H48</f>
        <v/>
      </c>
      <c r="F49" s="31">
        <f>IF(ISNUMBER(SEARCH("GOOD",D49)),MAX(0,I49-E49),0)</f>
        <v/>
      </c>
      <c r="G49" s="32" t="n"/>
      <c r="H49" s="29">
        <f>E49-C49+IF(G49="",F49,G49)</f>
        <v/>
      </c>
      <c r="I49" s="29">
        <f>F66*D66</f>
        <v/>
      </c>
    </row>
    <row r="50" ht="28" customHeight="1">
      <c r="A50" s="14" t="n">
        <v>2035</v>
      </c>
      <c r="B50" s="20" t="inlineStr">
        <is>
          <t>Q2</t>
        </is>
      </c>
      <c r="C50" s="17">
        <f>SUM('Variables_And_Log'!I12:K12)</f>
        <v/>
      </c>
      <c r="D50" s="33">
        <f>E66</f>
        <v/>
      </c>
      <c r="E50" s="17">
        <f>H49</f>
        <v/>
      </c>
      <c r="F50" s="22">
        <f>IF(ISNUMBER(SEARCH("GOOD",D50)),MAX(0,I50-E50),0)</f>
        <v/>
      </c>
      <c r="G50" s="18" t="n"/>
      <c r="H50" s="17">
        <f>E50-C50+IF(G50="",F50,G50)</f>
        <v/>
      </c>
      <c r="I50" s="17">
        <f>F66*D66</f>
        <v/>
      </c>
    </row>
    <row r="51" ht="28" customHeight="1">
      <c r="A51" s="14" t="n">
        <v>2035</v>
      </c>
      <c r="B51" s="20" t="inlineStr">
        <is>
          <t>Q3</t>
        </is>
      </c>
      <c r="C51" s="17">
        <f>SUM('Variables_And_Log'!L12:N12)</f>
        <v/>
      </c>
      <c r="D51" s="33">
        <f>E66</f>
        <v/>
      </c>
      <c r="E51" s="17">
        <f>H50</f>
        <v/>
      </c>
      <c r="F51" s="22">
        <f>IF(ISNUMBER(SEARCH("GOOD",D51)),MAX(0,I51-E51),0)</f>
        <v/>
      </c>
      <c r="G51" s="18" t="n"/>
      <c r="H51" s="17">
        <f>E51-C51+IF(G51="",F51,G51)</f>
        <v/>
      </c>
      <c r="I51" s="17">
        <f>F66*D66</f>
        <v/>
      </c>
    </row>
    <row r="52" ht="28" customHeight="1">
      <c r="A52" s="14" t="n">
        <v>2035</v>
      </c>
      <c r="B52" s="20" t="inlineStr">
        <is>
          <t>Q4</t>
        </is>
      </c>
      <c r="C52" s="17">
        <f>SUM('Variables_And_Log'!O12:Q12)</f>
        <v/>
      </c>
      <c r="D52" s="33">
        <f>E66</f>
        <v/>
      </c>
      <c r="E52" s="17">
        <f>H51</f>
        <v/>
      </c>
      <c r="F52" s="22">
        <f>IF(ISNUMBER(SEARCH("GOOD",D52)),MAX(0,I52-E52),0)</f>
        <v/>
      </c>
      <c r="G52" s="18" t="n"/>
      <c r="H52" s="17">
        <f>E52-C52+IF(G52="",F52,G52)</f>
        <v/>
      </c>
      <c r="I52" s="17">
        <f>F66*D66</f>
        <v/>
      </c>
    </row>
    <row r="53"/>
    <row r="54"/>
    <row r="55" ht="20" customHeight="1">
      <c r="A55" s="2" t="inlineStr">
        <is>
          <t>ANNUAL SRR HURDLE MODEL — STRATEGIC PACING CHECK (GATES THE QUARTERLY REFILL ABOVE)</t>
        </is>
      </c>
      <c r="B55" s="2" t="n"/>
      <c r="C55" s="2" t="n"/>
      <c r="D55" s="2" t="n"/>
      <c r="E55" s="2" t="n"/>
      <c r="F55" s="2" t="n"/>
    </row>
    <row r="56" ht="32" customHeight="1">
      <c r="A56" s="11" t="inlineStr">
        <is>
          <t>Year</t>
        </is>
      </c>
      <c r="B56" s="11" t="inlineStr">
        <is>
          <t>Total Annual Hurdle Rate</t>
        </is>
      </c>
      <c r="C56" s="11" t="inlineStr">
        <is>
          <t>Annual Outflows (W_t)</t>
        </is>
      </c>
      <c r="D56" s="11" t="inlineStr">
        <is>
          <t>Simulated Target Portfolio (P_track)</t>
        </is>
      </c>
      <c r="E56" s="11" t="inlineStr">
        <is>
          <t>Performance Logic Trigger</t>
        </is>
      </c>
      <c r="F56" s="11" t="inlineStr">
        <is>
          <t>Safety Anchor % (This Year)</t>
        </is>
      </c>
    </row>
    <row r="57" ht="28" customHeight="1">
      <c r="A57" s="14" t="n">
        <v>2026</v>
      </c>
      <c r="B57" s="16">
        <f>'Variables_And_Log'!D3</f>
        <v/>
      </c>
      <c r="C57" s="17">
        <f>'Variables_And_Log'!E3</f>
        <v/>
      </c>
      <c r="D57" s="17">
        <f>ROUND(($B$1*B57)-C57,2)</f>
        <v/>
      </c>
      <c r="E57" s="33">
        <f>IF(B$1&gt;=D57,"✅ GOOD: Execute T2065 Rebalance &amp; Rollover to TSP","⚠️ POOR: Freeze Equities. Draw Down G Fund")</f>
        <v/>
      </c>
      <c r="F57" s="16">
        <f>IF(A57-$B$2&lt;$B$4,$B$5,$B$6)</f>
        <v/>
      </c>
    </row>
    <row r="58" ht="28" customHeight="1">
      <c r="A58" s="14" t="n">
        <v>2027</v>
      </c>
      <c r="B58" s="16">
        <f>'Variables_And_Log'!D4</f>
        <v/>
      </c>
      <c r="C58" s="17">
        <f>'Variables_And_Log'!E4</f>
        <v/>
      </c>
      <c r="D58" s="17">
        <f>ROUND((D57*B58)-C58,2)</f>
        <v/>
      </c>
      <c r="E58" s="33">
        <f>IF(B$1&gt;=D58,"✅ GOOD: Execute T2065 Rebalance &amp; Rollover to TSP","⚠️ POOR: Freeze Equities. Draw Down G Fund")</f>
        <v/>
      </c>
      <c r="F58" s="16">
        <f>IF(A58-$B$2&lt;$B$4,$B$5,$B$6)</f>
        <v/>
      </c>
    </row>
    <row r="59" ht="28" customHeight="1">
      <c r="A59" s="14" t="n">
        <v>2028</v>
      </c>
      <c r="B59" s="16">
        <f>'Variables_And_Log'!D5</f>
        <v/>
      </c>
      <c r="C59" s="17">
        <f>'Variables_And_Log'!E5</f>
        <v/>
      </c>
      <c r="D59" s="17">
        <f>ROUND((D58*B59)-C59,2)</f>
        <v/>
      </c>
      <c r="E59" s="33">
        <f>IF(B$1&gt;=D59,"✅ GOOD: Execute T2065 Rebalance &amp; Rollover to TSP","⚠️ POOR: Freeze Equities. Draw Down G Fund")</f>
        <v/>
      </c>
      <c r="F59" s="16">
        <f>IF(A59-$B$2&lt;$B$4,$B$5,$B$6)</f>
        <v/>
      </c>
    </row>
    <row r="60" ht="28" customHeight="1">
      <c r="A60" s="14" t="n">
        <v>2029</v>
      </c>
      <c r="B60" s="16">
        <f>'Variables_And_Log'!D6</f>
        <v/>
      </c>
      <c r="C60" s="17">
        <f>'Variables_And_Log'!E6</f>
        <v/>
      </c>
      <c r="D60" s="17">
        <f>ROUND((D59*B60)-C60,2)</f>
        <v/>
      </c>
      <c r="E60" s="33">
        <f>IF(B$1&gt;=D60,"✅ GOOD: Execute T2065 Rebalance &amp; Rollover to TSP","⚠️ POOR: Freeze Equities. Draw Down G Fund")</f>
        <v/>
      </c>
      <c r="F60" s="16">
        <f>IF(A60-$B$2&lt;$B$4,$B$5,$B$6)</f>
        <v/>
      </c>
    </row>
    <row r="61" ht="28" customHeight="1">
      <c r="A61" s="14" t="n">
        <v>2030</v>
      </c>
      <c r="B61" s="16">
        <f>'Variables_And_Log'!D7</f>
        <v/>
      </c>
      <c r="C61" s="17">
        <f>'Variables_And_Log'!E7</f>
        <v/>
      </c>
      <c r="D61" s="17">
        <f>ROUND((D60*B61)-C61,2)</f>
        <v/>
      </c>
      <c r="E61" s="33">
        <f>IF(B$1&gt;=D61,"✅ GOOD: Execute T2065 Rebalance &amp; Rollover to TSP","⚠️ POOR: Freeze Equities. Draw Down G Fund")</f>
        <v/>
      </c>
      <c r="F61" s="16">
        <f>IF(A61-$B$2&lt;$B$4,$B$5,$B$6)</f>
        <v/>
      </c>
    </row>
    <row r="62" ht="28" customHeight="1">
      <c r="A62" s="14" t="n">
        <v>2031</v>
      </c>
      <c r="B62" s="16">
        <f>'Variables_And_Log'!D8</f>
        <v/>
      </c>
      <c r="C62" s="17">
        <f>'Variables_And_Log'!E8</f>
        <v/>
      </c>
      <c r="D62" s="17">
        <f>ROUND((D61*B62)-C62,2)</f>
        <v/>
      </c>
      <c r="E62" s="33">
        <f>IF(B$1&gt;=D62,"✅ GOOD: Execute T2065 Rebalance &amp; Rollover to TSP","⚠️ POOR: Freeze Equities. Draw Down G Fund")</f>
        <v/>
      </c>
      <c r="F62" s="16">
        <f>IF(A62-$B$2&lt;$B$4,$B$5,$B$6)</f>
        <v/>
      </c>
    </row>
    <row r="63" ht="28" customHeight="1">
      <c r="A63" s="14" t="n">
        <v>2032</v>
      </c>
      <c r="B63" s="16">
        <f>'Variables_And_Log'!D9</f>
        <v/>
      </c>
      <c r="C63" s="17">
        <f>'Variables_And_Log'!E9</f>
        <v/>
      </c>
      <c r="D63" s="17">
        <f>ROUND((D62*B63)-C63,2)</f>
        <v/>
      </c>
      <c r="E63" s="33">
        <f>IF(B$1&gt;=D63,"✅ GOOD: Execute T2065 Rebalance &amp; Rollover to TSP","⚠️ POOR: Freeze Equities. Draw Down G Fund")</f>
        <v/>
      </c>
      <c r="F63" s="16">
        <f>IF(A63-$B$2&lt;$B$4,$B$5,$B$6)</f>
        <v/>
      </c>
    </row>
    <row r="64" ht="28" customHeight="1">
      <c r="A64" s="14" t="n">
        <v>2033</v>
      </c>
      <c r="B64" s="16">
        <f>'Variables_And_Log'!D10</f>
        <v/>
      </c>
      <c r="C64" s="17">
        <f>'Variables_And_Log'!E10</f>
        <v/>
      </c>
      <c r="D64" s="17">
        <f>ROUND((D63*B64)-C64,2)</f>
        <v/>
      </c>
      <c r="E64" s="33">
        <f>IF(B$1&gt;=D64,"✅ GOOD: Execute T2065 Rebalance &amp; Rollover to TSP","⚠️ POOR: Freeze Equities. Draw Down G Fund")</f>
        <v/>
      </c>
      <c r="F64" s="16">
        <f>IF(A64-$B$2&lt;$B$4,$B$5,$B$6)</f>
        <v/>
      </c>
    </row>
    <row r="65" ht="28" customHeight="1">
      <c r="A65" s="14" t="n">
        <v>2034</v>
      </c>
      <c r="B65" s="16">
        <f>'Variables_And_Log'!D11</f>
        <v/>
      </c>
      <c r="C65" s="17">
        <f>'Variables_And_Log'!E11</f>
        <v/>
      </c>
      <c r="D65" s="17">
        <f>ROUND((D64*B65)-C65,2)</f>
        <v/>
      </c>
      <c r="E65" s="33">
        <f>IF(B$1&gt;=D65,"✅ GOOD: Execute T2065 Rebalance &amp; Rollover to TSP","⚠️ POOR: Freeze Equities. Draw Down G Fund")</f>
        <v/>
      </c>
      <c r="F65" s="16">
        <f>IF(A65-$B$2&lt;$B$4,$B$5,$B$6)</f>
        <v/>
      </c>
    </row>
    <row r="66" ht="28" customHeight="1">
      <c r="A66" s="14" t="n">
        <v>2035</v>
      </c>
      <c r="B66" s="16">
        <f>'Variables_And_Log'!D12</f>
        <v/>
      </c>
      <c r="C66" s="17">
        <f>'Variables_And_Log'!E12</f>
        <v/>
      </c>
      <c r="D66" s="17">
        <f>ROUND((D65*B66)-C66,2)</f>
        <v/>
      </c>
      <c r="E66" s="33">
        <f>IF(B$1&gt;=D66,"✅ GOOD: Execute T2065 Rebalance &amp; Rollover to TSP","⚠️ POOR: Freeze Equities. Draw Down G Fund")</f>
        <v/>
      </c>
      <c r="F66" s="16">
        <f>IF(A66-$B$2&lt;$B$4,$B$5,$B$6)</f>
        <v/>
      </c>
    </row>
    <row r="67"/>
    <row r="68">
      <c r="A68" s="2" t="inlineStr">
        <is>
          <t>EXTRA CAPACITY INDICATORS</t>
        </is>
      </c>
      <c r="B68" s="2" t="n"/>
      <c r="C68" s="2" t="n"/>
    </row>
    <row r="69">
      <c r="A69" s="24" t="inlineStr">
        <is>
          <t>Your Pre-Tax Rollover Conduit Capacity</t>
        </is>
      </c>
      <c r="B69" s="17">
        <f>'Account_Tracker'!$C$3</f>
        <v/>
      </c>
      <c r="C69" s="21">
        <f>IF(B69&gt;0,"Conduit Open","Conduit Closed")</f>
        <v/>
      </c>
    </row>
    <row r="70"/>
    <row r="71">
      <c r="A71" s="24" t="inlineStr">
        <is>
          <t>TSP Cash Buffer Runway (Months)</t>
        </is>
      </c>
      <c r="B71" s="34">
        <f>IFERROR('Account_Tracker'!$C$2/AVERAGE('Variables_And_Log'!$F$3:$Q$3),"Log Monthly Payments to Calculate")</f>
        <v/>
      </c>
      <c r="C71" s="21">
        <f>IF(ISNUMBER(B71),IF(B71&gt;36,"Safe: 3+ Year Volatility Shield","Caution: Shield Shrinking"),"Awaiting Payment Data")</f>
        <v/>
      </c>
    </row>
    <row r="72">
      <c r="A72" s="19" t="inlineStr">
        <is>
          <t>(Runway uses the average of whichever 2026 monthly TSP payments you've logged so far.)</t>
        </is>
      </c>
    </row>
    <row r="73"/>
    <row r="74">
      <c r="A74" s="2" t="inlineStr">
        <is>
          <t>EMERGENCY LIQUIDITY PROTOCOL — NEXT-DOLLAR PRIORITY ENGINE</t>
        </is>
      </c>
      <c r="B74" s="2" t="n"/>
      <c r="C74" s="2" t="n"/>
      <c r="D74" s="2" t="n"/>
      <c r="E74" s="2" t="n"/>
    </row>
    <row r="75" ht="60" customHeight="1">
      <c r="A75" s="24" t="inlineStr">
        <is>
          <t>Next-Dollar Liquidity Priority</t>
        </is>
      </c>
      <c r="B75" s="35">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75" s="6" t="n"/>
      <c r="D75" s="6" t="n"/>
      <c r="E75" s="6" t="n"/>
    </row>
    <row r="76" ht="20" customHeight="1">
      <c r="B76" s="6" t="n"/>
      <c r="C76" s="6" t="n"/>
      <c r="D76" s="6" t="n"/>
      <c r="E76" s="6" t="n"/>
    </row>
    <row r="77" ht="20" customHeight="1">
      <c r="B77" s="6" t="n"/>
      <c r="C77" s="6" t="n"/>
      <c r="D77" s="6" t="n"/>
      <c r="E77" s="6" t="n"/>
    </row>
    <row r="78"/>
    <row r="79">
      <c r="A79" s="19" t="inlineStr">
        <is>
          <t>Legend: pale-yellow cells are yours to type into; white cells hold formulas -- please don't overwrite them.</t>
        </is>
      </c>
    </row>
  </sheetData>
  <mergeCells count="5">
    <mergeCell ref="B75:E77"/>
    <mergeCell ref="A68:C68"/>
    <mergeCell ref="A11:I11"/>
    <mergeCell ref="A74:E74"/>
    <mergeCell ref="A55:F55"/>
  </mergeCells>
  <conditionalFormatting sqref="B75:B77">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2026-09-02T02:04:52Z</dcterms:created>
  <dcterms:modified xmlns:dcterms="http://purl.org/dc/terms/" xmlns:xsi="http://www.w3.org/2001/XMLSchema-instance" xsi:type="dcterms:W3CDTF">2026-09-02T02:04:52Z</dcterms:modified>
</cp:coreProperties>
</file>