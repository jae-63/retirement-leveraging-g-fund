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ocumentation" sheetId="1" state="visible" r:id="rId1"/>
    <sheet xmlns:r="http://schemas.openxmlformats.org/officeDocument/2006/relationships" name="Variables_And_Log" sheetId="2" state="visible" r:id="rId2"/>
    <sheet xmlns:r="http://schemas.openxmlformats.org/officeDocument/2006/relationships" name="Account_Tracker" sheetId="3" state="visible" r:id="rId3"/>
    <sheet xmlns:r="http://schemas.openxmlformats.org/officeDocument/2006/relationships" name="The_Refill_Engine" sheetId="4" state="visible" r:id="rId4"/>
    <sheet xmlns:r="http://schemas.openxmlformats.org/officeDocument/2006/relationships" name="Graph" sheetId="5" state="visible" r:id="rId5"/>
  </sheets>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name val="Segoe UI"/>
      <b val="1"/>
      <color rgb="00FFFFFF"/>
      <sz val="11"/>
    </font>
    <font>
      <name val="Segoe UI"/>
      <sz val="11"/>
    </font>
    <font>
      <name val="Segoe UI"/>
      <b val="1"/>
      <sz val="11"/>
    </font>
    <font>
      <name val="Segoe UI"/>
      <i val="1"/>
      <color rgb="00595959"/>
      <sz val="9"/>
    </font>
    <font>
      <name val="Segoe UI"/>
      <sz val="10"/>
    </font>
  </fonts>
  <fills count="9">
    <fill>
      <patternFill/>
    </fill>
    <fill>
      <patternFill patternType="gray125"/>
    </fill>
    <fill>
      <patternFill patternType="solid">
        <fgColor rgb="001F3864"/>
        <bgColor rgb="001F3864"/>
      </patternFill>
    </fill>
    <fill>
      <patternFill patternType="solid">
        <fgColor rgb="0044546A"/>
        <bgColor rgb="0044546A"/>
      </patternFill>
    </fill>
    <fill>
      <patternFill patternType="solid">
        <fgColor rgb="00FFFDE7"/>
        <bgColor rgb="00FFFDE7"/>
      </patternFill>
    </fill>
    <fill>
      <patternFill patternType="solid">
        <fgColor rgb="00DCE6F1"/>
        <bgColor rgb="00DCE6F1"/>
      </patternFill>
    </fill>
    <fill>
      <patternFill patternType="solid">
        <fgColor rgb="00E2EFDA"/>
        <bgColor rgb="00E2EFDA"/>
      </patternFill>
    </fill>
    <fill>
      <patternFill patternType="solid">
        <fgColor rgb="00FFF2CC"/>
        <bgColor rgb="00FFF2CC"/>
      </patternFill>
    </fill>
    <fill>
      <patternFill patternType="solid">
        <fgColor rgb="00FCE4E4"/>
        <bgColor rgb="00FCE4E4"/>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medium">
        <color rgb="001F3864"/>
      </top>
      <bottom style="thin">
        <color rgb="00BFBFBF"/>
      </bottom>
    </border>
  </borders>
  <cellStyleXfs count="1">
    <xf numFmtId="0" fontId="0" fillId="0" borderId="0"/>
  </cellStyleXfs>
  <cellXfs count="37">
    <xf numFmtId="0" fontId="0" fillId="0" borderId="0" pivotButton="0" quotePrefix="0" xfId="0"/>
    <xf numFmtId="0" fontId="1" fillId="2" borderId="1" pivotButton="0" quotePrefix="0" xfId="0"/>
    <xf numFmtId="0" fontId="1" fillId="3" borderId="1" pivotButton="0" quotePrefix="0" xfId="0"/>
    <xf numFmtId="0" fontId="2" fillId="0" borderId="0" applyAlignment="1" pivotButton="0" quotePrefix="0" xfId="0">
      <alignment horizontal="left" vertical="top" wrapText="1"/>
    </xf>
    <xf numFmtId="0" fontId="0" fillId="4" borderId="1" pivotButton="0" quotePrefix="0" xfId="0"/>
    <xf numFmtId="0"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1" fillId="2" borderId="1" applyAlignment="1" pivotButton="0" quotePrefix="0" xfId="0">
      <alignment horizontal="center" vertical="center" wrapText="1"/>
    </xf>
    <xf numFmtId="0" fontId="3" fillId="0" borderId="1" applyAlignment="1" pivotButton="0" quotePrefix="0" xfId="0">
      <alignment horizontal="left" vertical="top" wrapText="1"/>
    </xf>
    <xf numFmtId="0" fontId="2" fillId="0" borderId="1" applyAlignment="1" pivotButton="0" quotePrefix="0" xfId="0">
      <alignment horizontal="left" vertical="top" wrapText="1"/>
    </xf>
    <xf numFmtId="1" fontId="2" fillId="0" borderId="1" pivotButton="0" quotePrefix="0" xfId="0"/>
    <xf numFmtId="10" fontId="2" fillId="4" borderId="1" pivotButton="0" quotePrefix="0" xfId="0"/>
    <xf numFmtId="10" fontId="2" fillId="0" borderId="1" pivotButton="0" quotePrefix="0" xfId="0"/>
    <xf numFmtId="164" fontId="2" fillId="0" borderId="1" pivotButton="0" quotePrefix="0" xfId="0"/>
    <xf numFmtId="164" fontId="2" fillId="4" borderId="1" pivotButton="0" quotePrefix="0" xfId="0"/>
    <xf numFmtId="10" fontId="2" fillId="5" borderId="1" pivotButton="0" quotePrefix="0" xfId="0"/>
    <xf numFmtId="0" fontId="4" fillId="0" borderId="0" pivotButton="0" quotePrefix="0" xfId="0"/>
    <xf numFmtId="0" fontId="2" fillId="0" borderId="1" pivotButton="0" quotePrefix="0" xfId="0"/>
    <xf numFmtId="0" fontId="3" fillId="5" borderId="1" pivotButton="0" quotePrefix="0" xfId="0"/>
    <xf numFmtId="164" fontId="3" fillId="5" borderId="1" pivotButton="0" quotePrefix="0" xfId="0"/>
    <xf numFmtId="10" fontId="3" fillId="5" borderId="1" pivotButton="0" quotePrefix="0" xfId="0"/>
    <xf numFmtId="0" fontId="3" fillId="0" borderId="1" pivotButton="0" quotePrefix="0" xfId="0"/>
    <xf numFmtId="49" fontId="3" fillId="4" borderId="1" pivotButton="0" quotePrefix="0" xfId="0"/>
    <xf numFmtId="1" fontId="2" fillId="4" borderId="1" pivotButton="0" quotePrefix="0" xfId="0"/>
    <xf numFmtId="1" fontId="3" fillId="5" borderId="1" pivotButton="0" quotePrefix="0" xfId="0"/>
    <xf numFmtId="1" fontId="2" fillId="0" borderId="2" pivotButton="0" quotePrefix="0" xfId="0"/>
    <xf numFmtId="0" fontId="2" fillId="0" borderId="2" pivotButton="0" quotePrefix="0" xfId="0"/>
    <xf numFmtId="164" fontId="2" fillId="0" borderId="2" pivotButton="0" quotePrefix="0" xfId="0"/>
    <xf numFmtId="0" fontId="2" fillId="0" borderId="2" applyAlignment="1" pivotButton="0" quotePrefix="0" xfId="0">
      <alignment horizontal="left" vertical="center" wrapText="1"/>
    </xf>
    <xf numFmtId="164" fontId="3" fillId="5" borderId="2" pivotButton="0" quotePrefix="0" xfId="0"/>
    <xf numFmtId="164" fontId="2" fillId="4" borderId="2" pivotButton="0" quotePrefix="0" xfId="0"/>
    <xf numFmtId="0" fontId="2" fillId="0" borderId="1" applyAlignment="1" pivotButton="0" quotePrefix="0" xfId="0">
      <alignment horizontal="left" vertical="center" wrapText="1"/>
    </xf>
    <xf numFmtId="165" fontId="2" fillId="0" borderId="1" pivotButton="0" quotePrefix="0" xfId="0"/>
    <xf numFmtId="0" fontId="5" fillId="0" borderId="1" applyAlignment="1" pivotButton="0" quotePrefix="0" xfId="0">
      <alignment horizontal="left" vertical="top" wrapText="1"/>
    </xf>
  </cellXfs>
  <cellStyles count="1">
    <cellStyle name="Normal" xfId="0" builtinId="0" hidden="0"/>
  </cellStyles>
  <dxfs count="3">
    <dxf>
      <font>
        <name val="Segoe UI"/>
        <b val="1"/>
        <color rgb="00375623"/>
        <sz val="10"/>
      </font>
      <fill>
        <patternFill patternType="solid">
          <fgColor rgb="00E2EFDA"/>
          <bgColor rgb="00E2EFDA"/>
        </patternFill>
      </fill>
    </dxf>
    <dxf>
      <font>
        <name val="Segoe UI"/>
        <b val="1"/>
        <color rgb="007F6000"/>
        <sz val="10"/>
      </font>
      <fill>
        <patternFill patternType="solid">
          <fgColor rgb="00FFF2CC"/>
          <bgColor rgb="00FFF2CC"/>
        </patternFill>
      </fill>
    </dxf>
    <dxf>
      <font>
        <name val="Segoe UI"/>
        <b val="1"/>
        <color rgb="00C00000"/>
        <sz val="10"/>
      </font>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Simulated Actual Household Wealth vs. Hurdle Target (P_track)</a:t>
            </a:r>
          </a:p>
        </rich>
      </tx>
    </title>
    <plotArea>
      <barChart>
        <barDir val="col"/>
        <grouping val="clustered"/>
        <ser>
          <idx val="0"/>
          <order val="0"/>
          <tx>
            <strRef>
              <f>'The_Refill_Engine'!D62</f>
            </strRef>
          </tx>
          <spPr>
            <a:solidFill xmlns:a="http://schemas.openxmlformats.org/drawingml/2006/main">
              <a:srgbClr val="44546A"/>
            </a:solidFill>
            <a:ln xmlns:a="http://schemas.openxmlformats.org/drawingml/2006/main">
              <a:prstDash val="solid"/>
            </a:ln>
          </spPr>
          <cat>
            <numRef>
              <f>'The_Refill_Engine'!$A$63:$A$72</f>
            </numRef>
          </cat>
          <val>
            <numRef>
              <f>'The_Refill_Engine'!$D$63:$D$72</f>
            </numRef>
          </val>
        </ser>
        <ser>
          <idx val="1"/>
          <order val="1"/>
          <tx>
            <strRef>
              <f>'The_Refill_Engine'!F62</f>
            </strRef>
          </tx>
          <spPr>
            <a:solidFill xmlns:a="http://schemas.openxmlformats.org/drawingml/2006/main">
              <a:srgbClr val="1F3864"/>
            </a:solidFill>
            <a:ln xmlns:a="http://schemas.openxmlformats.org/drawingml/2006/main">
              <a:prstDash val="solid"/>
            </a:ln>
          </spPr>
          <cat>
            <numRef>
              <f>'The_Refill_Engine'!$A$63:$A$72</f>
            </numRef>
          </cat>
          <val>
            <numRef>
              <f>'The_Refill_Engine'!$F$63:$F$72</f>
            </numRef>
          </val>
        </ser>
        <gapWidth val="150"/>
        <overlap val="-10"/>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Household Wealth ($)</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43"/>
  <sheetViews>
    <sheetView showGridLines="1" workbookViewId="0">
      <pane ySplit="1" topLeftCell="A2" activePane="bottomLeft" state="frozen"/>
      <selection pane="bottomLeft" activeCell="A1" sqref="A1"/>
    </sheetView>
  </sheetViews>
  <sheetFormatPr baseColWidth="8" defaultRowHeight="15"/>
  <cols>
    <col width="22" customWidth="1" min="1" max="1"/>
    <col width="90" customWidth="1" min="2" max="2"/>
  </cols>
  <sheetData>
    <row r="1" ht="24" customHeight="1">
      <c r="A1" s="1" t="inlineStr">
        <is>
          <t>HOUSEHOLD PORTFOLIO ENGINE — SCENARIO DEMO</t>
        </is>
      </c>
      <c r="B1" s="1" t="n"/>
    </row>
    <row r="3" ht="20" customHeight="1">
      <c r="A3" s="2" t="inlineStr">
        <is>
          <t>WHAT THIS WORKBOOK IS</t>
        </is>
      </c>
      <c r="B3" s="2" t="n"/>
    </row>
    <row r="4" ht="113" customHeight="1">
      <c r="B4" s="3" t="inlineStr">
        <is>
          <t>This is a demonstration copy of the Household Portfolio Engine -- a two-bucket, decumulation-phase retirement income strategy built to protect a household from Sequence-of-Returns Risk (SRR). It uses entirely generic example balances and three hardcoded, hypothetical market-return paths (Bear / Bull / Choppy) so you can watch the engine's core mechanic -- the Quarterly Refill Engine's GOOD/POOR trigger -- actually fire in both directions, instead of having to imagine it.</t>
        </is>
      </c>
    </row>
    <row r="5" ht="98" customHeight="1">
      <c r="B5" s="3" t="inlineStr">
        <is>
          <t>The live version of this workbook is a hand-maintained tracker: real account balances and monthly payments get typed in and the sheet only ever compares today's actual wealth to a target. It never simulates a market move on its own. This demo workbook adds that missing piece -- a simulated household wealth path that evolves year by year under whichever scenario you select -- purely to illustrate how the mechanism behaves under different market conditions.</t>
        </is>
      </c>
    </row>
    <row r="7" ht="20" customHeight="1">
      <c r="A7" s="2" t="inlineStr">
        <is>
          <t>HOW TO USE THE SCENARIO SELECTOR</t>
        </is>
      </c>
      <c r="B7" s="2" t="n"/>
    </row>
    <row r="8" ht="128" customHeight="1">
      <c r="B8" s="3" t="inlineStr">
        <is>
          <t>On The_Refill_Engine tab, the top-left cell lets you choose Bear, Bull, or Choppy from a dropdown. Bear applies a front-loaded market crash in years 1-2 followed by a recovery -- watch the Quarterly Refill Engine freeze transfers and the G Fund shield draw down on its own. Bull applies steady, consistently strong growth -- the engine should recommend a transfer almost every quarter. Choppy applies small, oscillating returns near the hurdle rate -- GOOD and POOR should alternate unpredictably, which is the case the Safety Anchor is really built for.</t>
        </is>
      </c>
    </row>
    <row r="9" ht="68" customHeight="1">
      <c r="B9" s="3" t="inlineStr">
        <is>
          <t>Every other input (account balances, COLA, monthly payments) is pre-filled with round, generic numbers so the workbook is fully self-contained -- nothing needs to be typed in to see it work. Feel free to change any pale-yellow cell to explore "what if" variations.</t>
        </is>
      </c>
    </row>
    <row r="11" ht="20" customHeight="1">
      <c r="A11" s="2" t="inlineStr">
        <is>
          <t>DISCLAIMER</t>
        </is>
      </c>
      <c r="B11" s="2" t="n"/>
    </row>
    <row r="12" ht="83" customHeight="1">
      <c r="B12" s="3" t="inlineStr">
        <is>
          <t>All balances, payments, and the Bear/Bull/Choppy return paths in this workbook are hypothetical and for illustration only. They are not historical market data, a forecast, or investment, tax, or legal advice. Use this workbook to understand the mechanics of the strategy, then work from your own real numbers in the live tracker.</t>
        </is>
      </c>
    </row>
    <row r="14" ht="20" customHeight="1">
      <c r="A14" s="2" t="inlineStr">
        <is>
          <t>HOW THE FIVE TABS WORK TOGETHER</t>
        </is>
      </c>
      <c r="B14" s="2" t="n"/>
    </row>
    <row r="15" ht="53" customHeight="1">
      <c r="B15" s="3" t="inlineStr">
        <is>
          <t>Documentation (this tab) -- What this demo shows, how to use the scenario selector, the disclaimer above, the color legend, and a glossary. Nothing here feeds any formula.</t>
        </is>
      </c>
    </row>
    <row r="16" ht="53" customHeight="1">
      <c r="B16" s="3" t="inlineStr">
        <is>
          <t>Variables_And_Log -- The annual COLA/hurdle inputs, the monthly TSP -&gt; checking payment log, and the three hardcoded Bear/Bull/Choppy annual return columns, plus a column that picks out whichever scenario is currently selected.</t>
        </is>
      </c>
    </row>
    <row r="17" ht="68" customHeight="1">
      <c r="B17" s="3" t="inlineStr">
        <is>
          <t>Account_Tracker -- Generic starting balances for every account as of the beginning of Year 1. Unlike the live tracker, this is not an ongoing snapshot -- it's the starting point that The_Refill_Engine projects forward under the selected scenario.</t>
        </is>
      </c>
    </row>
    <row r="18" ht="128" customHeight="1">
      <c r="B18" s="3" t="inlineStr">
        <is>
          <t>The_Refill_Engine -- The decision-making tab, plus the scenario selector. A block of configured inputs (Retirement Start Year, Ramp Length, the G Fund target percentages, etc.) each carry a Default, an optional Override, and the resulting Effective value everything else on the tab actually uses. The Quarterly Refill Engine table is the headline output. The Annual SRR Hurdle Model below it simulates actual household wealth forward year by year under the selected scenario and compares it to the hurdle target, which is what drives GOOD vs. POOR here.</t>
        </is>
      </c>
    </row>
    <row r="19" ht="53" customHeight="1">
      <c r="B19" s="3" t="inlineStr">
        <is>
          <t>Graph -- A single chart, read-only, pulling straight from The_Refill_Engine's Annual SRR Hurdle Model: Simulated Actual Household Wealth vs. the hurdle target (P_track), by year, for whichever scenario is currently selected.</t>
        </is>
      </c>
    </row>
    <row r="21" ht="20" customHeight="1">
      <c r="A21" s="2" t="inlineStr">
        <is>
          <t>COLOR LEGEND</t>
        </is>
      </c>
      <c r="B21" s="2" t="n"/>
    </row>
    <row r="22" ht="38" customHeight="1">
      <c r="A22" s="4" t="n"/>
      <c r="B22" s="3" t="inlineStr">
        <is>
          <t>Pale yellow -- an editable input, pre-filled with an illustrative example value.</t>
        </is>
      </c>
    </row>
    <row r="23" ht="38" customHeight="1">
      <c r="A23" s="5" t="n"/>
      <c r="B23" s="3" t="inlineStr">
        <is>
          <t>White (no fill) -- a formula, or a fixed scenario assumption; please leave it alone.</t>
        </is>
      </c>
    </row>
    <row r="24" ht="23" customHeight="1">
      <c r="A24" s="6" t="n"/>
      <c r="B24" s="3" t="inlineStr">
        <is>
          <t>Ice blue -- a computed summary or headline total.</t>
        </is>
      </c>
    </row>
    <row r="25" ht="23" customHeight="1">
      <c r="A25" s="7" t="n"/>
      <c r="B25" s="3" t="inlineStr">
        <is>
          <t>Green (Emergency Liquidity Protocol only) -- the TSP G Fund shield is active.</t>
        </is>
      </c>
    </row>
    <row r="26" ht="38" customHeight="1">
      <c r="A26" s="8" t="n"/>
      <c r="B26" s="3" t="inlineStr">
        <is>
          <t>Yellow (Emergency Liquidity Protocol only) -- the G Fund is exhausted; drawing from the cash buffer.</t>
        </is>
      </c>
    </row>
    <row r="27" ht="38" customHeight="1">
      <c r="A27" s="9" t="n"/>
      <c r="B27" s="3" t="inlineStr">
        <is>
          <t>Red (Emergency Liquidity Protocol only) -- both cash shields are exhausted; the household is in an emergency-liquidation stage.</t>
        </is>
      </c>
    </row>
    <row r="29" ht="20" customHeight="1">
      <c r="A29" s="2" t="inlineStr">
        <is>
          <t>GLOSSARY</t>
        </is>
      </c>
      <c r="B29" s="2" t="n"/>
    </row>
    <row r="30">
      <c r="A30" s="10" t="inlineStr">
        <is>
          <t>Term</t>
        </is>
      </c>
      <c r="B30" s="10" t="inlineStr">
        <is>
          <t>Definition</t>
        </is>
      </c>
    </row>
    <row r="31" ht="38" customHeight="1">
      <c r="A31" s="11" t="inlineStr">
        <is>
          <t>COLA</t>
        </is>
      </c>
      <c r="B31" s="12" t="inlineStr">
        <is>
          <t>The federal Cost-of-Living Adjustment, applied annually to Social Security/federal retirement benefits.</t>
        </is>
      </c>
    </row>
    <row r="32" ht="38" customHeight="1">
      <c r="A32" s="11" t="inlineStr">
        <is>
          <t>Hurdle Rate</t>
        </is>
      </c>
      <c r="B32" s="12" t="inlineStr">
        <is>
          <t>The minimum real (inflation-adjusted) growth rate the portfolio needs to clear to be considered "on track" -- COLA layered on a fixed real-growth baseline.</t>
        </is>
      </c>
    </row>
    <row r="33" ht="23" customHeight="1">
      <c r="A33" s="11" t="inlineStr">
        <is>
          <t>W_t / W_q</t>
        </is>
      </c>
      <c r="B33" s="12" t="inlineStr">
        <is>
          <t>Total dollar outflows (withdrawals) for a given year (t) or quarter (q).</t>
        </is>
      </c>
    </row>
    <row r="34" ht="38" customHeight="1">
      <c r="A34" s="11" t="inlineStr">
        <is>
          <t>P_track</t>
        </is>
      </c>
      <c r="B34" s="12" t="inlineStr">
        <is>
          <t>The simulated target portfolio value (the hurdle trajectory) that simulated actual wealth is measured against each year.</t>
        </is>
      </c>
    </row>
    <row r="35" ht="38" customHeight="1">
      <c r="A35" s="11" t="inlineStr">
        <is>
          <t>Scenario</t>
        </is>
      </c>
      <c r="B35" s="12" t="inlineStr">
        <is>
          <t>One of three hardcoded, hypothetical annual market-return paths -- Bear, Bull, or Choppy -- selected on The_Refill_Engine tab.</t>
        </is>
      </c>
    </row>
    <row r="36" ht="53" customHeight="1">
      <c r="A36" s="11" t="inlineStr">
        <is>
          <t>Simulated Actual Household Wealth</t>
        </is>
      </c>
      <c r="B36" s="12" t="inlineStr">
        <is>
          <t>This demo's stand-in for real net worth: last year's simulated wealth, grown by the selected scenario's return for the year, less that year's outflows. Compared against P_track to decide GOOD vs. POOR.</t>
        </is>
      </c>
    </row>
    <row r="37" ht="38" customHeight="1">
      <c r="A37" s="11" t="inlineStr">
        <is>
          <t>SRR</t>
        </is>
      </c>
      <c r="B37" s="12" t="inlineStr">
        <is>
          <t>Sequence-of-Returns Risk -- the risk that a downturn early in retirement forces permanent sale of depreciated assets.</t>
        </is>
      </c>
    </row>
    <row r="38" ht="38" customHeight="1">
      <c r="A38" s="11" t="inlineStr">
        <is>
          <t>TSP G Fund</t>
        </is>
      </c>
      <c r="B38" s="12" t="inlineStr">
        <is>
          <t>The federal Thrift Savings Plan's government-securities fund: principal-protected, instantly liquid, and the household's operating cash vault.</t>
        </is>
      </c>
    </row>
    <row r="39" ht="83" customHeight="1">
      <c r="A39" s="11" t="inlineStr">
        <is>
          <t>Safety Anchor</t>
        </is>
      </c>
      <c r="B39" s="12" t="inlineStr">
        <is>
          <t>The G Fund cash buffer this engine tries to maintain. Ramps linearly (on The_Refill_Engine) from a Starting % down to an Ending % over the Ramp Length, then holds flat -- largest during the early years when SRR risk is heavily front-loaded, easing as that window passes. Applied each year to that year's P_track rather than a frozen snapshot.</t>
        </is>
      </c>
    </row>
    <row r="40" ht="53" customHeight="1">
      <c r="A40" s="11" t="inlineStr">
        <is>
          <t>Ramp Length</t>
        </is>
      </c>
      <c r="B40" s="12" t="inlineStr">
        <is>
          <t>How many years the G Fund target percentage takes to slide from its Starting % to its Ending %, before holding flat. A configured input on The_Refill_Engine.</t>
        </is>
      </c>
    </row>
    <row r="41" ht="68" customHeight="1">
      <c r="A41" s="11" t="inlineStr">
        <is>
          <t>Default / Override / Effective</t>
        </is>
      </c>
      <c r="B41" s="12" t="inlineStr">
        <is>
          <t>The three-column pattern used for every configured input on The_Refill_Engine. Default is the built-in value; Override is blank unless you want to change it; Effective is whichever one is actually in force, and is what every other formula on the tab references.</t>
        </is>
      </c>
    </row>
    <row r="42" ht="38" customHeight="1">
      <c r="A42" s="11" t="inlineStr">
        <is>
          <t>Conduit</t>
        </is>
      </c>
      <c r="B42" s="12" t="inlineStr">
        <is>
          <t>A Traditional IRA used as a pass-through for pre-tax rollovers back into the TSP.</t>
        </is>
      </c>
    </row>
    <row r="43" ht="23" customHeight="1">
      <c r="A43" s="11" t="inlineStr">
        <is>
          <t>Allocation Mix</t>
        </is>
      </c>
      <c r="B43" s="12" t="inlineStr">
        <is>
          <t>Each account's share of total household net worth, shown on Account_Tracker.</t>
        </is>
      </c>
    </row>
  </sheetData>
  <mergeCells count="7">
    <mergeCell ref="A21:B21"/>
    <mergeCell ref="A29:B29"/>
    <mergeCell ref="A7:B7"/>
    <mergeCell ref="A11:B11"/>
    <mergeCell ref="A14:B14"/>
    <mergeCell ref="A1:B1"/>
    <mergeCell ref="A3:B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5"/>
  <sheetViews>
    <sheetView showGridLines="1" workbookViewId="0">
      <pane ySplit="2" topLeftCell="A3" activePane="bottomLeft" state="frozen"/>
      <selection pane="bottomLeft" activeCell="A1" sqref="A1"/>
    </sheetView>
  </sheetViews>
  <sheetFormatPr baseColWidth="8" defaultRowHeight="15"/>
  <cols>
    <col width="14" customWidth="1" min="1" max="1"/>
    <col width="28" customWidth="1" min="2" max="2"/>
    <col width="31" customWidth="1" min="3" max="3"/>
    <col width="27" customWidth="1" min="4" max="4"/>
    <col width="30"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6" customWidth="1" min="18" max="18"/>
    <col width="16" customWidth="1" min="19" max="19"/>
    <col width="16" customWidth="1" min="20" max="20"/>
    <col width="16" customWidth="1" min="21" max="21"/>
  </cols>
  <sheetData>
    <row r="1" ht="20" customHeight="1">
      <c r="A1" s="2" t="inlineStr">
        <is>
          <t>HOUSEHOLD VARIABLE LOG — ANNUAL HURDLE INPUTS, MARKET SCENARIOS &amp; MONTHLY TSP → CHECKING PAYMENT LOG (2026-2035)</t>
        </is>
      </c>
      <c r="B1" s="2" t="n"/>
      <c r="C1" s="2" t="n"/>
      <c r="D1" s="2" t="n"/>
      <c r="E1" s="2" t="n"/>
      <c r="F1" s="2" t="n"/>
      <c r="G1" s="2" t="n"/>
      <c r="H1" s="2" t="n"/>
      <c r="I1" s="2" t="n"/>
      <c r="J1" s="2" t="n"/>
      <c r="K1" s="2" t="n"/>
      <c r="L1" s="2" t="n"/>
      <c r="M1" s="2" t="n"/>
      <c r="N1" s="2" t="n"/>
      <c r="O1" s="2" t="n"/>
      <c r="P1" s="2" t="n"/>
      <c r="Q1" s="2" t="n"/>
      <c r="R1" s="2" t="n"/>
      <c r="S1" s="2" t="n"/>
      <c r="T1" s="2" t="n"/>
      <c r="U1" s="2" t="n"/>
      <c r="V1" s="2" t="n"/>
    </row>
    <row r="2" ht="32" customHeight="1">
      <c r="A2" s="10" t="inlineStr">
        <is>
          <t>Date / Year</t>
        </is>
      </c>
      <c r="B2" s="10" t="inlineStr">
        <is>
          <t>Actual Federal COLA (C_i)</t>
        </is>
      </c>
      <c r="C2" s="10" t="inlineStr">
        <is>
          <t>Rule of Four Hurdle Baseline</t>
        </is>
      </c>
      <c r="D2" s="10" t="inlineStr">
        <is>
          <t>Total Annual Hurdle Rate</t>
        </is>
      </c>
      <c r="E2" s="10" t="inlineStr">
        <is>
          <t>Total Annual Outflows (W_t)</t>
        </is>
      </c>
      <c r="F2" s="10" t="inlineStr">
        <is>
          <t>Jan</t>
        </is>
      </c>
      <c r="G2" s="10" t="inlineStr">
        <is>
          <t>Feb</t>
        </is>
      </c>
      <c r="H2" s="10" t="inlineStr">
        <is>
          <t>Mar</t>
        </is>
      </c>
      <c r="I2" s="10" t="inlineStr">
        <is>
          <t>Apr</t>
        </is>
      </c>
      <c r="J2" s="10" t="inlineStr">
        <is>
          <t>May</t>
        </is>
      </c>
      <c r="K2" s="10" t="inlineStr">
        <is>
          <t>Jun</t>
        </is>
      </c>
      <c r="L2" s="10" t="inlineStr">
        <is>
          <t>Jul</t>
        </is>
      </c>
      <c r="M2" s="10" t="inlineStr">
        <is>
          <t>Aug</t>
        </is>
      </c>
      <c r="N2" s="10" t="inlineStr">
        <is>
          <t>Sep</t>
        </is>
      </c>
      <c r="O2" s="10" t="inlineStr">
        <is>
          <t>Oct</t>
        </is>
      </c>
      <c r="P2" s="10" t="inlineStr">
        <is>
          <t>Nov</t>
        </is>
      </c>
      <c r="Q2" s="10" t="inlineStr">
        <is>
          <t>Dec</t>
        </is>
      </c>
      <c r="R2" s="10" t="inlineStr">
        <is>
          <t>Bear Scenario Annual Return (Illustrative)</t>
        </is>
      </c>
      <c r="S2" s="10" t="inlineStr">
        <is>
          <t>Bull Scenario Annual Return (Illustrative)</t>
        </is>
      </c>
      <c r="T2" s="10" t="inlineStr">
        <is>
          <t>Choppy Scenario Annual Return (Illustrative)</t>
        </is>
      </c>
      <c r="U2" s="10" t="inlineStr">
        <is>
          <t>Selected Scenario Annual Return (This Year)</t>
        </is>
      </c>
    </row>
    <row r="3">
      <c r="A3" s="13" t="n">
        <v>2026</v>
      </c>
      <c r="B3" s="14" t="n">
        <v>0.026</v>
      </c>
      <c r="C3" s="15" t="n">
        <v>0.02</v>
      </c>
      <c r="D3" s="15">
        <f>(1+B3)*(1+C3)</f>
        <v/>
      </c>
      <c r="E3" s="16">
        <f>SUM(F3:Q3)</f>
        <v/>
      </c>
      <c r="F3" s="17" t="n">
        <v>4000</v>
      </c>
      <c r="G3" s="17" t="n">
        <v>4000</v>
      </c>
      <c r="H3" s="17" t="n">
        <v>4000</v>
      </c>
      <c r="I3" s="17" t="n">
        <v>4000</v>
      </c>
      <c r="J3" s="17" t="n">
        <v>4000</v>
      </c>
      <c r="K3" s="17" t="n">
        <v>4000</v>
      </c>
      <c r="L3" s="17" t="n">
        <v>4000</v>
      </c>
      <c r="M3" s="17" t="n">
        <v>4000</v>
      </c>
      <c r="N3" s="17" t="n">
        <v>4000</v>
      </c>
      <c r="O3" s="17" t="n">
        <v>4000</v>
      </c>
      <c r="P3" s="17" t="n">
        <v>4000</v>
      </c>
      <c r="Q3" s="17" t="n">
        <v>4000</v>
      </c>
      <c r="R3" s="15" t="n">
        <v>-0.35</v>
      </c>
      <c r="S3" s="15" t="n">
        <v>0.1</v>
      </c>
      <c r="T3" s="15" t="n">
        <v>0.09</v>
      </c>
      <c r="U3" s="18">
        <f>IF('The_Refill_Engine'!$B$1="Bear",R3,IF('The_Refill_Engine'!$B$1="Bull",S3,T3))</f>
        <v/>
      </c>
    </row>
    <row r="4">
      <c r="A4" s="13" t="n">
        <v>2027</v>
      </c>
      <c r="B4" s="14" t="n">
        <v>0.025</v>
      </c>
      <c r="C4" s="15" t="n">
        <v>0.02</v>
      </c>
      <c r="D4" s="15">
        <f>(1+B4)*(1+C4)</f>
        <v/>
      </c>
      <c r="E4" s="16">
        <f>SUM(F4:Q4)</f>
        <v/>
      </c>
      <c r="F4" s="17" t="n">
        <v>4100</v>
      </c>
      <c r="G4" s="17" t="n">
        <v>4100</v>
      </c>
      <c r="H4" s="17" t="n">
        <v>4100</v>
      </c>
      <c r="I4" s="17" t="n">
        <v>4100</v>
      </c>
      <c r="J4" s="17" t="n">
        <v>4100</v>
      </c>
      <c r="K4" s="17" t="n">
        <v>4100</v>
      </c>
      <c r="L4" s="17" t="n">
        <v>4100</v>
      </c>
      <c r="M4" s="17" t="n">
        <v>4100</v>
      </c>
      <c r="N4" s="17" t="n">
        <v>4100</v>
      </c>
      <c r="O4" s="17" t="n">
        <v>4100</v>
      </c>
      <c r="P4" s="17" t="n">
        <v>4100</v>
      </c>
      <c r="Q4" s="17" t="n">
        <v>4100</v>
      </c>
      <c r="R4" s="15" t="n">
        <v>-0.08</v>
      </c>
      <c r="S4" s="15" t="n">
        <v>0.11</v>
      </c>
      <c r="T4" s="15" t="n">
        <v>-0.01</v>
      </c>
      <c r="U4" s="18">
        <f>IF('The_Refill_Engine'!$B$1="Bear",R4,IF('The_Refill_Engine'!$B$1="Bull",S4,T4))</f>
        <v/>
      </c>
    </row>
    <row r="5">
      <c r="A5" s="13" t="n">
        <v>2028</v>
      </c>
      <c r="B5" s="14" t="n">
        <v>0.024</v>
      </c>
      <c r="C5" s="15" t="n">
        <v>0.02</v>
      </c>
      <c r="D5" s="15">
        <f>(1+B5)*(1+C5)</f>
        <v/>
      </c>
      <c r="E5" s="16">
        <f>SUM(F5:Q5)</f>
        <v/>
      </c>
      <c r="F5" s="17" t="n">
        <v>4200</v>
      </c>
      <c r="G5" s="17" t="n">
        <v>4200</v>
      </c>
      <c r="H5" s="17" t="n">
        <v>4200</v>
      </c>
      <c r="I5" s="17" t="n">
        <v>4200</v>
      </c>
      <c r="J5" s="17" t="n">
        <v>4200</v>
      </c>
      <c r="K5" s="17" t="n">
        <v>4200</v>
      </c>
      <c r="L5" s="17" t="n">
        <v>4200</v>
      </c>
      <c r="M5" s="17" t="n">
        <v>4200</v>
      </c>
      <c r="N5" s="17" t="n">
        <v>4200</v>
      </c>
      <c r="O5" s="17" t="n">
        <v>4200</v>
      </c>
      <c r="P5" s="17" t="n">
        <v>4200</v>
      </c>
      <c r="Q5" s="17" t="n">
        <v>4200</v>
      </c>
      <c r="R5" s="15" t="n">
        <v>0.06</v>
      </c>
      <c r="S5" s="15" t="n">
        <v>0.09</v>
      </c>
      <c r="T5" s="15" t="n">
        <v>0.09</v>
      </c>
      <c r="U5" s="18">
        <f>IF('The_Refill_Engine'!$B$1="Bear",R5,IF('The_Refill_Engine'!$B$1="Bull",S5,T5))</f>
        <v/>
      </c>
    </row>
    <row r="6">
      <c r="A6" s="13" t="n">
        <v>2029</v>
      </c>
      <c r="B6" s="14" t="n">
        <v>0.025</v>
      </c>
      <c r="C6" s="15" t="n">
        <v>0.02</v>
      </c>
      <c r="D6" s="15">
        <f>(1+B6)*(1+C6)</f>
        <v/>
      </c>
      <c r="E6" s="16">
        <f>SUM(F6:Q6)</f>
        <v/>
      </c>
      <c r="F6" s="17" t="n">
        <v>4300</v>
      </c>
      <c r="G6" s="17" t="n">
        <v>4300</v>
      </c>
      <c r="H6" s="17" t="n">
        <v>4300</v>
      </c>
      <c r="I6" s="17" t="n">
        <v>4300</v>
      </c>
      <c r="J6" s="17" t="n">
        <v>4300</v>
      </c>
      <c r="K6" s="17" t="n">
        <v>4300</v>
      </c>
      <c r="L6" s="17" t="n">
        <v>4300</v>
      </c>
      <c r="M6" s="17" t="n">
        <v>4300</v>
      </c>
      <c r="N6" s="17" t="n">
        <v>4300</v>
      </c>
      <c r="O6" s="17" t="n">
        <v>4300</v>
      </c>
      <c r="P6" s="17" t="n">
        <v>4300</v>
      </c>
      <c r="Q6" s="17" t="n">
        <v>4300</v>
      </c>
      <c r="R6" s="15" t="n">
        <v>0.09</v>
      </c>
      <c r="S6" s="15" t="n">
        <v>0.12</v>
      </c>
      <c r="T6" s="15" t="n">
        <v>-0.01</v>
      </c>
      <c r="U6" s="18">
        <f>IF('The_Refill_Engine'!$B$1="Bear",R6,IF('The_Refill_Engine'!$B$1="Bull",S6,T6))</f>
        <v/>
      </c>
    </row>
    <row r="7">
      <c r="A7" s="13" t="n">
        <v>2030</v>
      </c>
      <c r="B7" s="14" t="n">
        <v>0.026</v>
      </c>
      <c r="C7" s="15" t="n">
        <v>0.02</v>
      </c>
      <c r="D7" s="15">
        <f>(1+B7)*(1+C7)</f>
        <v/>
      </c>
      <c r="E7" s="16">
        <f>SUM(F7:Q7)</f>
        <v/>
      </c>
      <c r="F7" s="17" t="n">
        <v>4400</v>
      </c>
      <c r="G7" s="17" t="n">
        <v>4400</v>
      </c>
      <c r="H7" s="17" t="n">
        <v>4400</v>
      </c>
      <c r="I7" s="17" t="n">
        <v>4400</v>
      </c>
      <c r="J7" s="17" t="n">
        <v>4400</v>
      </c>
      <c r="K7" s="17" t="n">
        <v>4400</v>
      </c>
      <c r="L7" s="17" t="n">
        <v>4400</v>
      </c>
      <c r="M7" s="17" t="n">
        <v>4400</v>
      </c>
      <c r="N7" s="17" t="n">
        <v>4400</v>
      </c>
      <c r="O7" s="17" t="n">
        <v>4400</v>
      </c>
      <c r="P7" s="17" t="n">
        <v>4400</v>
      </c>
      <c r="Q7" s="17" t="n">
        <v>4400</v>
      </c>
      <c r="R7" s="15" t="n">
        <v>0.07000000000000001</v>
      </c>
      <c r="S7" s="15" t="n">
        <v>0.1</v>
      </c>
      <c r="T7" s="15" t="n">
        <v>0.09</v>
      </c>
      <c r="U7" s="18">
        <f>IF('The_Refill_Engine'!$B$1="Bear",R7,IF('The_Refill_Engine'!$B$1="Bull",S7,T7))</f>
        <v/>
      </c>
    </row>
    <row r="8">
      <c r="A8" s="13" t="n">
        <v>2031</v>
      </c>
      <c r="B8" s="14" t="n">
        <v>0.025</v>
      </c>
      <c r="C8" s="15" t="n">
        <v>0.02</v>
      </c>
      <c r="D8" s="15">
        <f>(1+B8)*(1+C8)</f>
        <v/>
      </c>
      <c r="E8" s="16">
        <f>SUM(F8:Q8)</f>
        <v/>
      </c>
      <c r="F8" s="17" t="n">
        <v>4500</v>
      </c>
      <c r="G8" s="17" t="n">
        <v>4500</v>
      </c>
      <c r="H8" s="17" t="n">
        <v>4500</v>
      </c>
      <c r="I8" s="17" t="n">
        <v>4500</v>
      </c>
      <c r="J8" s="17" t="n">
        <v>4500</v>
      </c>
      <c r="K8" s="17" t="n">
        <v>4500</v>
      </c>
      <c r="L8" s="17" t="n">
        <v>4500</v>
      </c>
      <c r="M8" s="17" t="n">
        <v>4500</v>
      </c>
      <c r="N8" s="17" t="n">
        <v>4500</v>
      </c>
      <c r="O8" s="17" t="n">
        <v>4500</v>
      </c>
      <c r="P8" s="17" t="n">
        <v>4500</v>
      </c>
      <c r="Q8" s="17" t="n">
        <v>4500</v>
      </c>
      <c r="R8" s="15" t="n">
        <v>0.07000000000000001</v>
      </c>
      <c r="S8" s="15" t="n">
        <v>0.08</v>
      </c>
      <c r="T8" s="15" t="n">
        <v>-0.01</v>
      </c>
      <c r="U8" s="18">
        <f>IF('The_Refill_Engine'!$B$1="Bear",R8,IF('The_Refill_Engine'!$B$1="Bull",S8,T8))</f>
        <v/>
      </c>
    </row>
    <row r="9">
      <c r="A9" s="13" t="n">
        <v>2032</v>
      </c>
      <c r="B9" s="14" t="n">
        <v>0.024</v>
      </c>
      <c r="C9" s="15" t="n">
        <v>0.02</v>
      </c>
      <c r="D9" s="15">
        <f>(1+B9)*(1+C9)</f>
        <v/>
      </c>
      <c r="E9" s="16">
        <f>SUM(F9:Q9)</f>
        <v/>
      </c>
      <c r="F9" s="17" t="n">
        <v>4600</v>
      </c>
      <c r="G9" s="17" t="n">
        <v>4600</v>
      </c>
      <c r="H9" s="17" t="n">
        <v>4600</v>
      </c>
      <c r="I9" s="17" t="n">
        <v>4600</v>
      </c>
      <c r="J9" s="17" t="n">
        <v>4600</v>
      </c>
      <c r="K9" s="17" t="n">
        <v>4600</v>
      </c>
      <c r="L9" s="17" t="n">
        <v>4600</v>
      </c>
      <c r="M9" s="17" t="n">
        <v>4600</v>
      </c>
      <c r="N9" s="17" t="n">
        <v>4600</v>
      </c>
      <c r="O9" s="17" t="n">
        <v>4600</v>
      </c>
      <c r="P9" s="17" t="n">
        <v>4600</v>
      </c>
      <c r="Q9" s="17" t="n">
        <v>4600</v>
      </c>
      <c r="R9" s="15" t="n">
        <v>0.07000000000000001</v>
      </c>
      <c r="S9" s="15" t="n">
        <v>0.11</v>
      </c>
      <c r="T9" s="15" t="n">
        <v>0.09</v>
      </c>
      <c r="U9" s="18">
        <f>IF('The_Refill_Engine'!$B$1="Bear",R9,IF('The_Refill_Engine'!$B$1="Bull",S9,T9))</f>
        <v/>
      </c>
    </row>
    <row r="10">
      <c r="A10" s="13" t="n">
        <v>2033</v>
      </c>
      <c r="B10" s="14" t="n">
        <v>0.025</v>
      </c>
      <c r="C10" s="15" t="n">
        <v>0.02</v>
      </c>
      <c r="D10" s="15">
        <f>(1+B10)*(1+C10)</f>
        <v/>
      </c>
      <c r="E10" s="16">
        <f>SUM(F10:Q10)</f>
        <v/>
      </c>
      <c r="F10" s="17" t="n">
        <v>4700</v>
      </c>
      <c r="G10" s="17" t="n">
        <v>4700</v>
      </c>
      <c r="H10" s="17" t="n">
        <v>4700</v>
      </c>
      <c r="I10" s="17" t="n">
        <v>4700</v>
      </c>
      <c r="J10" s="17" t="n">
        <v>4700</v>
      </c>
      <c r="K10" s="17" t="n">
        <v>4700</v>
      </c>
      <c r="L10" s="17" t="n">
        <v>4700</v>
      </c>
      <c r="M10" s="17" t="n">
        <v>4700</v>
      </c>
      <c r="N10" s="17" t="n">
        <v>4700</v>
      </c>
      <c r="O10" s="17" t="n">
        <v>4700</v>
      </c>
      <c r="P10" s="17" t="n">
        <v>4700</v>
      </c>
      <c r="Q10" s="17" t="n">
        <v>4700</v>
      </c>
      <c r="R10" s="15" t="n">
        <v>0.06</v>
      </c>
      <c r="S10" s="15" t="n">
        <v>0.09</v>
      </c>
      <c r="T10" s="15" t="n">
        <v>-0.01</v>
      </c>
      <c r="U10" s="18">
        <f>IF('The_Refill_Engine'!$B$1="Bear",R10,IF('The_Refill_Engine'!$B$1="Bull",S10,T10))</f>
        <v/>
      </c>
    </row>
    <row r="11">
      <c r="A11" s="13" t="n">
        <v>2034</v>
      </c>
      <c r="B11" s="14" t="n">
        <v>0.026</v>
      </c>
      <c r="C11" s="15" t="n">
        <v>0.02</v>
      </c>
      <c r="D11" s="15">
        <f>(1+B11)*(1+C11)</f>
        <v/>
      </c>
      <c r="E11" s="16">
        <f>SUM(F11:Q11)</f>
        <v/>
      </c>
      <c r="F11" s="17" t="n">
        <v>4800</v>
      </c>
      <c r="G11" s="17" t="n">
        <v>4800</v>
      </c>
      <c r="H11" s="17" t="n">
        <v>4800</v>
      </c>
      <c r="I11" s="17" t="n">
        <v>4800</v>
      </c>
      <c r="J11" s="17" t="n">
        <v>4800</v>
      </c>
      <c r="K11" s="17" t="n">
        <v>4800</v>
      </c>
      <c r="L11" s="17" t="n">
        <v>4800</v>
      </c>
      <c r="M11" s="17" t="n">
        <v>4800</v>
      </c>
      <c r="N11" s="17" t="n">
        <v>4800</v>
      </c>
      <c r="O11" s="17" t="n">
        <v>4800</v>
      </c>
      <c r="P11" s="17" t="n">
        <v>4800</v>
      </c>
      <c r="Q11" s="17" t="n">
        <v>4800</v>
      </c>
      <c r="R11" s="15" t="n">
        <v>0.06</v>
      </c>
      <c r="S11" s="15" t="n">
        <v>0.1</v>
      </c>
      <c r="T11" s="15" t="n">
        <v>0.09</v>
      </c>
      <c r="U11" s="18">
        <f>IF('The_Refill_Engine'!$B$1="Bear",R11,IF('The_Refill_Engine'!$B$1="Bull",S11,T11))</f>
        <v/>
      </c>
    </row>
    <row r="12">
      <c r="A12" s="13" t="n">
        <v>2035</v>
      </c>
      <c r="B12" s="14" t="n">
        <v>0.025</v>
      </c>
      <c r="C12" s="15" t="n">
        <v>0.02</v>
      </c>
      <c r="D12" s="15">
        <f>(1+B12)*(1+C12)</f>
        <v/>
      </c>
      <c r="E12" s="16">
        <f>SUM(F12:Q12)</f>
        <v/>
      </c>
      <c r="F12" s="17" t="n">
        <v>4900</v>
      </c>
      <c r="G12" s="17" t="n">
        <v>4900</v>
      </c>
      <c r="H12" s="17" t="n">
        <v>4900</v>
      </c>
      <c r="I12" s="17" t="n">
        <v>4900</v>
      </c>
      <c r="J12" s="17" t="n">
        <v>4900</v>
      </c>
      <c r="K12" s="17" t="n">
        <v>4900</v>
      </c>
      <c r="L12" s="17" t="n">
        <v>4900</v>
      </c>
      <c r="M12" s="17" t="n">
        <v>4900</v>
      </c>
      <c r="N12" s="17" t="n">
        <v>4900</v>
      </c>
      <c r="O12" s="17" t="n">
        <v>4900</v>
      </c>
      <c r="P12" s="17" t="n">
        <v>4900</v>
      </c>
      <c r="Q12" s="17" t="n">
        <v>4900</v>
      </c>
      <c r="R12" s="15" t="n">
        <v>0.06</v>
      </c>
      <c r="S12" s="15" t="n">
        <v>0.09</v>
      </c>
      <c r="T12" s="15" t="n">
        <v>-0.01</v>
      </c>
      <c r="U12" s="18">
        <f>IF('The_Refill_Engine'!$B$1="Bear",R12,IF('The_Refill_Engine'!$B$1="Bull",S12,T12))</f>
        <v/>
      </c>
    </row>
    <row r="13"/>
    <row r="14">
      <c r="A14" s="19" t="inlineStr">
        <is>
          <t>Notes: COLA, monthly payments, and the account balances on Account_Tracker are all generic illustrative numbers -- change any pale-yellow cell to explore a variation. The Bear/Bull/Choppy columns are fixed scenario definitions (hypothetical, not historical); the selector that picks among them lives on The_Refill_Engine tab.</t>
        </is>
      </c>
    </row>
    <row r="15">
      <c r="A15" s="19" t="inlineStr">
        <is>
          <t>Legend: pale-yellow cells are yours to type into (pre-filled here with illustrative example numbers); white cells hold formulas or fixed scenario assumptions -- please don't overwrite them.</t>
        </is>
      </c>
    </row>
  </sheetData>
  <mergeCells count="1">
    <mergeCell ref="A1:V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showGridLines="1" workbookViewId="0">
      <pane ySplit="1" topLeftCell="A2" activePane="bottomLeft" state="frozen"/>
      <selection pane="bottomLeft" activeCell="A1" sqref="A1"/>
    </sheetView>
  </sheetViews>
  <sheetFormatPr baseColWidth="8" defaultRowHeight="15"/>
  <cols>
    <col width="32" customWidth="1" min="1" max="1"/>
    <col width="52" customWidth="1" min="2" max="2"/>
    <col width="41" customWidth="1" min="3" max="3"/>
    <col width="17" customWidth="1" min="4" max="4"/>
  </cols>
  <sheetData>
    <row r="1" ht="24" customHeight="1">
      <c r="A1" s="10" t="inlineStr">
        <is>
          <t>Asset Pool</t>
        </is>
      </c>
      <c r="B1" s="10" t="inlineStr">
        <is>
          <t>Custodian / Platform</t>
        </is>
      </c>
      <c r="C1" s="10" t="inlineStr">
        <is>
          <t>Starting Balance (Beginning of Year 1)</t>
        </is>
      </c>
      <c r="D1" s="10" t="inlineStr">
        <is>
          <t>Allocation Mix</t>
        </is>
      </c>
    </row>
    <row r="2">
      <c r="A2" s="20" t="inlineStr">
        <is>
          <t>Your Pre-Tax Account</t>
        </is>
      </c>
      <c r="B2" s="20" t="inlineStr">
        <is>
          <t>TSP G Fund</t>
        </is>
      </c>
      <c r="C2" s="17" t="n">
        <v>100000</v>
      </c>
      <c r="D2" s="15">
        <f>C2/$C$9</f>
        <v/>
      </c>
    </row>
    <row r="3">
      <c r="A3" s="20" t="inlineStr">
        <is>
          <t>Your Conversion Conduit</t>
        </is>
      </c>
      <c r="B3" s="20" t="inlineStr">
        <is>
          <t>Private Traditional IRA</t>
        </is>
      </c>
      <c r="C3" s="17" t="n">
        <v>100000</v>
      </c>
      <c r="D3" s="15">
        <f>C3/$C$9</f>
        <v/>
      </c>
    </row>
    <row r="4">
      <c r="A4" s="20" t="inlineStr">
        <is>
          <t>Your Tax-Free Growth</t>
        </is>
      </c>
      <c r="B4" s="20" t="inlineStr">
        <is>
          <t>Private Roth IRA</t>
        </is>
      </c>
      <c r="C4" s="17" t="n">
        <v>100000</v>
      </c>
      <c r="D4" s="15">
        <f>C4/$C$9</f>
        <v/>
      </c>
    </row>
    <row r="5">
      <c r="A5" s="20" t="inlineStr">
        <is>
          <t>Spouse's Tax-Free Growth</t>
        </is>
      </c>
      <c r="B5" s="20" t="inlineStr">
        <is>
          <t>Private Roth IRA</t>
        </is>
      </c>
      <c r="C5" s="17" t="n">
        <v>100000</v>
      </c>
      <c r="D5" s="15">
        <f>C5/$C$9</f>
        <v/>
      </c>
    </row>
    <row r="6">
      <c r="A6" s="20" t="inlineStr">
        <is>
          <t>Spouse's Safe Pre-Tax Account</t>
        </is>
      </c>
      <c r="B6" s="20" t="inlineStr">
        <is>
          <t>Current Employer 403b (Active + Reverse Rollover)</t>
        </is>
      </c>
      <c r="C6" s="17" t="n">
        <v>100000</v>
      </c>
      <c r="D6" s="15">
        <f>C6/$C$9</f>
        <v/>
      </c>
    </row>
    <row r="7">
      <c r="A7" s="20" t="inlineStr">
        <is>
          <t>Spouse's Conversion Conduit</t>
        </is>
      </c>
      <c r="B7" s="20" t="inlineStr">
        <is>
          <t>Private Traditional IRA</t>
        </is>
      </c>
      <c r="C7" s="17" t="n">
        <v>100000</v>
      </c>
      <c r="D7" s="15">
        <f>C7/$C$9</f>
        <v/>
      </c>
    </row>
    <row r="8">
      <c r="A8" s="20" t="inlineStr">
        <is>
          <t>Short-Term Liquidity</t>
        </is>
      </c>
      <c r="B8" s="20" t="inlineStr">
        <is>
          <t>Merrill Edge Cash Buffer</t>
        </is>
      </c>
      <c r="C8" s="17" t="n">
        <v>100000</v>
      </c>
      <c r="D8" s="15">
        <f>C8/$C$9</f>
        <v/>
      </c>
    </row>
    <row r="9">
      <c r="A9" s="21" t="inlineStr">
        <is>
          <t>Total Household Net Worth</t>
        </is>
      </c>
      <c r="B9" s="21" t="n"/>
      <c r="C9" s="22">
        <f>SUM(C2:C8)</f>
        <v/>
      </c>
      <c r="D9" s="23">
        <f>C9/C9</f>
        <v/>
      </c>
    </row>
    <row r="10">
      <c r="A10" s="19" t="inlineStr">
        <is>
          <t>Note: unlike the live tracker, these are not an ongoing snapshot -- they're the starting point (beginning of Year 1) that The_Refill_Engine projects forward under whichever scenario is selected.</t>
        </is>
      </c>
    </row>
    <row r="11">
      <c r="A11" s="19" t="inlineStr">
        <is>
          <t>Legend: pale-yellow cells are yours to type into (pre-filled here with illustrative example numbers); white cells hold formulas or fixed scenario assumptions -- please don't overwrite them.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5"/>
  <sheetViews>
    <sheetView showGridLines="1" workbookViewId="0">
      <pane ySplit="18" topLeftCell="A19" activePane="bottomLeft" state="frozen"/>
      <selection pane="bottomLeft" activeCell="A1" sqref="A1"/>
    </sheetView>
  </sheetViews>
  <sheetFormatPr baseColWidth="8" defaultRowHeight="15"/>
  <cols>
    <col width="42" customWidth="1" min="1" max="1"/>
    <col width="14" customWidth="1" min="2" max="2"/>
    <col width="22" customWidth="1" min="3" max="3"/>
    <col width="30" customWidth="1" min="4" max="4"/>
    <col width="22" customWidth="1" min="5" max="5"/>
    <col width="30" customWidth="1" min="6" max="6"/>
    <col width="22" customWidth="1" min="7" max="7"/>
    <col width="22" customWidth="1" min="8" max="8"/>
    <col width="22" customWidth="1" min="9" max="9"/>
  </cols>
  <sheetData>
    <row r="1">
      <c r="A1" s="24" t="inlineStr">
        <is>
          <t>Scenario Selector</t>
        </is>
      </c>
      <c r="B1" s="25" t="inlineStr">
        <is>
          <t>Bear</t>
        </is>
      </c>
      <c r="C1" s="19" t="inlineStr">
        <is>
          <t>← choose Bear / Bull / Choppy to see the engine react to each hardcoded market path</t>
        </is>
      </c>
    </row>
    <row r="2"/>
    <row r="3">
      <c r="A3" s="21" t="inlineStr">
        <is>
          <t>Starting Household Wealth (Year 1 Opening)</t>
        </is>
      </c>
      <c r="B3" s="22">
        <f>'Account_Tracker'!$C$9</f>
        <v/>
      </c>
    </row>
    <row r="4"/>
    <row r="5" ht="20" customHeight="1">
      <c r="A5" s="2" t="inlineStr">
        <is>
          <t>CONFIGURED INPUTS — DEFAULT / OVERRIDE / EFFECTIVE</t>
        </is>
      </c>
      <c r="B5" s="2" t="n"/>
      <c r="C5" s="2" t="n"/>
      <c r="D5" s="2" t="n"/>
    </row>
    <row r="6" ht="28" customHeight="1">
      <c r="A6" s="10" t="inlineStr">
        <is>
          <t>Input</t>
        </is>
      </c>
      <c r="B6" s="10" t="inlineStr">
        <is>
          <t>Default</t>
        </is>
      </c>
      <c r="C6" s="10" t="inlineStr">
        <is>
          <t>Override (blank = use Default)</t>
        </is>
      </c>
      <c r="D6" s="10" t="inlineStr">
        <is>
          <t>Effective (used below)</t>
        </is>
      </c>
    </row>
    <row r="7">
      <c r="A7" s="24" t="inlineStr">
        <is>
          <t>Retirement Start Year</t>
        </is>
      </c>
      <c r="B7" s="13" t="n">
        <v>2026</v>
      </c>
      <c r="C7" s="26" t="n"/>
      <c r="D7" s="27">
        <f>IF(C7="",B7,C7)</f>
        <v/>
      </c>
    </row>
    <row r="8">
      <c r="A8" s="24" t="inlineStr">
        <is>
          <t>Age at Retirement Start</t>
        </is>
      </c>
      <c r="B8" s="13" t="n">
        <v>63</v>
      </c>
      <c r="C8" s="26" t="n"/>
      <c r="D8" s="27">
        <f>IF(C8="",B8,C8)</f>
        <v/>
      </c>
    </row>
    <row r="9">
      <c r="A9" s="24" t="inlineStr">
        <is>
          <t>Ramp Length (Years)</t>
        </is>
      </c>
      <c r="B9" s="13" t="n">
        <v>10</v>
      </c>
      <c r="C9" s="26" t="n"/>
      <c r="D9" s="27">
        <f>IF(C9="",B9,C9)</f>
        <v/>
      </c>
    </row>
    <row r="10">
      <c r="A10" s="24" t="inlineStr">
        <is>
          <t>Starting G Fund Target % (elevated, early retirement)</t>
        </is>
      </c>
      <c r="B10" s="15" t="n">
        <v>0.3</v>
      </c>
      <c r="C10" s="14" t="n"/>
      <c r="D10" s="23">
        <f>IF(C10="",B10,C10)</f>
        <v/>
      </c>
    </row>
    <row r="11">
      <c r="A11" s="24" t="inlineStr">
        <is>
          <t>Ending G Fund Target % (steady state)</t>
        </is>
      </c>
      <c r="B11" s="15" t="n">
        <v>0.2</v>
      </c>
      <c r="C11" s="14" t="n"/>
      <c r="D11" s="23">
        <f>IF(C11="",B11,C11)</f>
        <v/>
      </c>
    </row>
    <row r="12"/>
    <row r="13">
      <c r="A13" s="21" t="inlineStr">
        <is>
          <t>Current G Fund Target % (Today)</t>
        </is>
      </c>
      <c r="B13" s="23">
        <f>IF(YEAR(TODAY())-$D$7&gt;=$D$9,$D$11,$D$10+($D$11-$D$10)*(YEAR(TODAY())-$D$7)/$D$9)</f>
        <v/>
      </c>
    </row>
    <row r="14">
      <c r="A14" s="21" t="inlineStr">
        <is>
          <t>Target Safety Anchor Balance (Year 1 Opening)</t>
        </is>
      </c>
      <c r="B14" s="22">
        <f>B3*B13</f>
        <v/>
      </c>
    </row>
    <row r="15">
      <c r="A15" s="19" t="inlineStr">
        <is>
          <t>Sequence-of-Returns-Risk (SRR) Shield: the G Fund target ramps down linearly from the Starting % to the Ending % over the Ramp Length, then holds flat -- SRR is concentrated in the first years of retirement, so the shield is largest when it matters most and eases as that window passes. Each year's actual target is computed per-year in the Annual SRR Hurdle Model below and drives the Quarterly Refill Engine's 'Target Safety Anchor Balance (This Year)' column, scaled against that year's simulated wealth path, not a value frozen at Year 1. The row above is only a Year-1 snapshot for quick reference. In this demo, GOOD/POOR below is driven by the Scenario Selector above, not a live account snapshot.</t>
        </is>
      </c>
    </row>
    <row r="16"/>
    <row r="17" ht="20" customHeight="1">
      <c r="A17" s="2" t="inlineStr">
        <is>
          <t>THE QUARTERLY REFILL ENGINE — PRIMARY OUTPUT: RECOMMENDED TSP TOP-UP TRANSFER</t>
        </is>
      </c>
      <c r="B17" s="2" t="n"/>
      <c r="C17" s="2" t="n"/>
      <c r="D17" s="2" t="n"/>
      <c r="E17" s="2" t="n"/>
      <c r="F17" s="2" t="n"/>
      <c r="G17" s="2" t="n"/>
      <c r="H17" s="2" t="n"/>
      <c r="I17" s="2" t="n"/>
    </row>
    <row r="18" ht="40" customHeight="1">
      <c r="A18" s="10" t="inlineStr">
        <is>
          <t>Year</t>
        </is>
      </c>
      <c r="B18" s="10" t="inlineStr">
        <is>
          <t>Quarter</t>
        </is>
      </c>
      <c r="C18" s="10" t="inlineStr">
        <is>
          <t>Quarterly Outflow (W_q)</t>
        </is>
      </c>
      <c r="D18" s="10" t="inlineStr">
        <is>
          <t>Annual Performance Signal</t>
        </is>
      </c>
      <c r="E18" s="10" t="inlineStr">
        <is>
          <t>G Fund Balance (Start of Qtr)</t>
        </is>
      </c>
      <c r="F18" s="10" t="inlineStr">
        <is>
          <t>Recommended Transfer This Quarter</t>
        </is>
      </c>
      <c r="G18" s="10" t="inlineStr">
        <is>
          <t>Actual Transferred (Log It Here)</t>
        </is>
      </c>
      <c r="H18" s="10" t="inlineStr">
        <is>
          <t>G Fund Balance (End of Qtr, Projected)</t>
        </is>
      </c>
      <c r="I18" s="10" t="inlineStr">
        <is>
          <t>Target Safety Anchor Balance (This Year)</t>
        </is>
      </c>
    </row>
    <row r="19" ht="28" customHeight="1">
      <c r="A19" s="28" t="n">
        <v>2026</v>
      </c>
      <c r="B19" s="29" t="inlineStr">
        <is>
          <t>Q1</t>
        </is>
      </c>
      <c r="C19" s="30">
        <f>SUM('Variables_And_Log'!F3:H3)</f>
        <v/>
      </c>
      <c r="D19" s="31">
        <f>G63</f>
        <v/>
      </c>
      <c r="E19" s="30">
        <f>'Account_Tracker'!$C$2</f>
        <v/>
      </c>
      <c r="F19" s="32">
        <f>IF(ISNUMBER(SEARCH("GOOD",D19)),MAX(0,I19-E19),0)</f>
        <v/>
      </c>
      <c r="G19" s="33" t="n"/>
      <c r="H19" s="30">
        <f>MAX(0,E19-C19+IF(G19="",F19,G19))</f>
        <v/>
      </c>
      <c r="I19" s="30">
        <f>H63*D63</f>
        <v/>
      </c>
    </row>
    <row r="20" ht="28" customHeight="1">
      <c r="A20" s="13" t="n">
        <v>2026</v>
      </c>
      <c r="B20" s="20" t="inlineStr">
        <is>
          <t>Q2</t>
        </is>
      </c>
      <c r="C20" s="16">
        <f>SUM('Variables_And_Log'!I3:K3)</f>
        <v/>
      </c>
      <c r="D20" s="34">
        <f>G63</f>
        <v/>
      </c>
      <c r="E20" s="16">
        <f>H19</f>
        <v/>
      </c>
      <c r="F20" s="22">
        <f>IF(ISNUMBER(SEARCH("GOOD",D20)),MAX(0,I20-E20),0)</f>
        <v/>
      </c>
      <c r="G20" s="17" t="n"/>
      <c r="H20" s="16">
        <f>MAX(0,E20-C20+IF(G20="",F20,G20))</f>
        <v/>
      </c>
      <c r="I20" s="16">
        <f>H63*D63</f>
        <v/>
      </c>
    </row>
    <row r="21" ht="28" customHeight="1">
      <c r="A21" s="13" t="n">
        <v>2026</v>
      </c>
      <c r="B21" s="20" t="inlineStr">
        <is>
          <t>Q3</t>
        </is>
      </c>
      <c r="C21" s="16">
        <f>SUM('Variables_And_Log'!L3:N3)</f>
        <v/>
      </c>
      <c r="D21" s="34">
        <f>G63</f>
        <v/>
      </c>
      <c r="E21" s="16">
        <f>H20</f>
        <v/>
      </c>
      <c r="F21" s="22">
        <f>IF(ISNUMBER(SEARCH("GOOD",D21)),MAX(0,I21-E21),0)</f>
        <v/>
      </c>
      <c r="G21" s="17" t="n"/>
      <c r="H21" s="16">
        <f>MAX(0,E21-C21+IF(G21="",F21,G21))</f>
        <v/>
      </c>
      <c r="I21" s="16">
        <f>H63*D63</f>
        <v/>
      </c>
    </row>
    <row r="22" ht="28" customHeight="1">
      <c r="A22" s="13" t="n">
        <v>2026</v>
      </c>
      <c r="B22" s="20" t="inlineStr">
        <is>
          <t>Q4</t>
        </is>
      </c>
      <c r="C22" s="16">
        <f>SUM('Variables_And_Log'!O3:Q3)</f>
        <v/>
      </c>
      <c r="D22" s="34">
        <f>G63</f>
        <v/>
      </c>
      <c r="E22" s="16">
        <f>H21</f>
        <v/>
      </c>
      <c r="F22" s="22">
        <f>IF(ISNUMBER(SEARCH("GOOD",D22)),MAX(0,I22-E22),0)</f>
        <v/>
      </c>
      <c r="G22" s="17" t="n"/>
      <c r="H22" s="16">
        <f>MAX(0,E22-C22+IF(G22="",F22,G22))</f>
        <v/>
      </c>
      <c r="I22" s="16">
        <f>H63*D63</f>
        <v/>
      </c>
    </row>
    <row r="23" ht="28" customHeight="1">
      <c r="A23" s="28" t="n">
        <v>2027</v>
      </c>
      <c r="B23" s="29" t="inlineStr">
        <is>
          <t>Q1</t>
        </is>
      </c>
      <c r="C23" s="30">
        <f>SUM('Variables_And_Log'!F4:H4)</f>
        <v/>
      </c>
      <c r="D23" s="31">
        <f>G64</f>
        <v/>
      </c>
      <c r="E23" s="30">
        <f>H22</f>
        <v/>
      </c>
      <c r="F23" s="32">
        <f>IF(ISNUMBER(SEARCH("GOOD",D23)),MAX(0,I23-E23),0)</f>
        <v/>
      </c>
      <c r="G23" s="33" t="n"/>
      <c r="H23" s="30">
        <f>MAX(0,E23-C23+IF(G23="",F23,G23))</f>
        <v/>
      </c>
      <c r="I23" s="30">
        <f>H64*D64</f>
        <v/>
      </c>
    </row>
    <row r="24" ht="28" customHeight="1">
      <c r="A24" s="13" t="n">
        <v>2027</v>
      </c>
      <c r="B24" s="20" t="inlineStr">
        <is>
          <t>Q2</t>
        </is>
      </c>
      <c r="C24" s="16">
        <f>SUM('Variables_And_Log'!I4:K4)</f>
        <v/>
      </c>
      <c r="D24" s="34">
        <f>G64</f>
        <v/>
      </c>
      <c r="E24" s="16">
        <f>H23</f>
        <v/>
      </c>
      <c r="F24" s="22">
        <f>IF(ISNUMBER(SEARCH("GOOD",D24)),MAX(0,I24-E24),0)</f>
        <v/>
      </c>
      <c r="G24" s="17" t="n"/>
      <c r="H24" s="16">
        <f>MAX(0,E24-C24+IF(G24="",F24,G24))</f>
        <v/>
      </c>
      <c r="I24" s="16">
        <f>H64*D64</f>
        <v/>
      </c>
    </row>
    <row r="25" ht="28" customHeight="1">
      <c r="A25" s="13" t="n">
        <v>2027</v>
      </c>
      <c r="B25" s="20" t="inlineStr">
        <is>
          <t>Q3</t>
        </is>
      </c>
      <c r="C25" s="16">
        <f>SUM('Variables_And_Log'!L4:N4)</f>
        <v/>
      </c>
      <c r="D25" s="34">
        <f>G64</f>
        <v/>
      </c>
      <c r="E25" s="16">
        <f>H24</f>
        <v/>
      </c>
      <c r="F25" s="22">
        <f>IF(ISNUMBER(SEARCH("GOOD",D25)),MAX(0,I25-E25),0)</f>
        <v/>
      </c>
      <c r="G25" s="17" t="n"/>
      <c r="H25" s="16">
        <f>MAX(0,E25-C25+IF(G25="",F25,G25))</f>
        <v/>
      </c>
      <c r="I25" s="16">
        <f>H64*D64</f>
        <v/>
      </c>
    </row>
    <row r="26" ht="28" customHeight="1">
      <c r="A26" s="13" t="n">
        <v>2027</v>
      </c>
      <c r="B26" s="20" t="inlineStr">
        <is>
          <t>Q4</t>
        </is>
      </c>
      <c r="C26" s="16">
        <f>SUM('Variables_And_Log'!O4:Q4)</f>
        <v/>
      </c>
      <c r="D26" s="34">
        <f>G64</f>
        <v/>
      </c>
      <c r="E26" s="16">
        <f>H25</f>
        <v/>
      </c>
      <c r="F26" s="22">
        <f>IF(ISNUMBER(SEARCH("GOOD",D26)),MAX(0,I26-E26),0)</f>
        <v/>
      </c>
      <c r="G26" s="17" t="n"/>
      <c r="H26" s="16">
        <f>MAX(0,E26-C26+IF(G26="",F26,G26))</f>
        <v/>
      </c>
      <c r="I26" s="16">
        <f>H64*D64</f>
        <v/>
      </c>
    </row>
    <row r="27" ht="28" customHeight="1">
      <c r="A27" s="28" t="n">
        <v>2028</v>
      </c>
      <c r="B27" s="29" t="inlineStr">
        <is>
          <t>Q1</t>
        </is>
      </c>
      <c r="C27" s="30">
        <f>SUM('Variables_And_Log'!F5:H5)</f>
        <v/>
      </c>
      <c r="D27" s="31">
        <f>G65</f>
        <v/>
      </c>
      <c r="E27" s="30">
        <f>H26</f>
        <v/>
      </c>
      <c r="F27" s="32">
        <f>IF(ISNUMBER(SEARCH("GOOD",D27)),MAX(0,I27-E27),0)</f>
        <v/>
      </c>
      <c r="G27" s="33" t="n"/>
      <c r="H27" s="30">
        <f>MAX(0,E27-C27+IF(G27="",F27,G27))</f>
        <v/>
      </c>
      <c r="I27" s="30">
        <f>H65*D65</f>
        <v/>
      </c>
    </row>
    <row r="28" ht="28" customHeight="1">
      <c r="A28" s="13" t="n">
        <v>2028</v>
      </c>
      <c r="B28" s="20" t="inlineStr">
        <is>
          <t>Q2</t>
        </is>
      </c>
      <c r="C28" s="16">
        <f>SUM('Variables_And_Log'!I5:K5)</f>
        <v/>
      </c>
      <c r="D28" s="34">
        <f>G65</f>
        <v/>
      </c>
      <c r="E28" s="16">
        <f>H27</f>
        <v/>
      </c>
      <c r="F28" s="22">
        <f>IF(ISNUMBER(SEARCH("GOOD",D28)),MAX(0,I28-E28),0)</f>
        <v/>
      </c>
      <c r="G28" s="17" t="n"/>
      <c r="H28" s="16">
        <f>MAX(0,E28-C28+IF(G28="",F28,G28))</f>
        <v/>
      </c>
      <c r="I28" s="16">
        <f>H65*D65</f>
        <v/>
      </c>
    </row>
    <row r="29" ht="28" customHeight="1">
      <c r="A29" s="13" t="n">
        <v>2028</v>
      </c>
      <c r="B29" s="20" t="inlineStr">
        <is>
          <t>Q3</t>
        </is>
      </c>
      <c r="C29" s="16">
        <f>SUM('Variables_And_Log'!L5:N5)</f>
        <v/>
      </c>
      <c r="D29" s="34">
        <f>G65</f>
        <v/>
      </c>
      <c r="E29" s="16">
        <f>H28</f>
        <v/>
      </c>
      <c r="F29" s="22">
        <f>IF(ISNUMBER(SEARCH("GOOD",D29)),MAX(0,I29-E29),0)</f>
        <v/>
      </c>
      <c r="G29" s="17" t="n"/>
      <c r="H29" s="16">
        <f>MAX(0,E29-C29+IF(G29="",F29,G29))</f>
        <v/>
      </c>
      <c r="I29" s="16">
        <f>H65*D65</f>
        <v/>
      </c>
    </row>
    <row r="30" ht="28" customHeight="1">
      <c r="A30" s="13" t="n">
        <v>2028</v>
      </c>
      <c r="B30" s="20" t="inlineStr">
        <is>
          <t>Q4</t>
        </is>
      </c>
      <c r="C30" s="16">
        <f>SUM('Variables_And_Log'!O5:Q5)</f>
        <v/>
      </c>
      <c r="D30" s="34">
        <f>G65</f>
        <v/>
      </c>
      <c r="E30" s="16">
        <f>H29</f>
        <v/>
      </c>
      <c r="F30" s="22">
        <f>IF(ISNUMBER(SEARCH("GOOD",D30)),MAX(0,I30-E30),0)</f>
        <v/>
      </c>
      <c r="G30" s="17" t="n"/>
      <c r="H30" s="16">
        <f>MAX(0,E30-C30+IF(G30="",F30,G30))</f>
        <v/>
      </c>
      <c r="I30" s="16">
        <f>H65*D65</f>
        <v/>
      </c>
    </row>
    <row r="31" ht="28" customHeight="1">
      <c r="A31" s="28" t="n">
        <v>2029</v>
      </c>
      <c r="B31" s="29" t="inlineStr">
        <is>
          <t>Q1</t>
        </is>
      </c>
      <c r="C31" s="30">
        <f>SUM('Variables_And_Log'!F6:H6)</f>
        <v/>
      </c>
      <c r="D31" s="31">
        <f>G66</f>
        <v/>
      </c>
      <c r="E31" s="30">
        <f>H30</f>
        <v/>
      </c>
      <c r="F31" s="32">
        <f>IF(ISNUMBER(SEARCH("GOOD",D31)),MAX(0,I31-E31),0)</f>
        <v/>
      </c>
      <c r="G31" s="33" t="n"/>
      <c r="H31" s="30">
        <f>MAX(0,E31-C31+IF(G31="",F31,G31))</f>
        <v/>
      </c>
      <c r="I31" s="30">
        <f>H66*D66</f>
        <v/>
      </c>
    </row>
    <row r="32" ht="28" customHeight="1">
      <c r="A32" s="13" t="n">
        <v>2029</v>
      </c>
      <c r="B32" s="20" t="inlineStr">
        <is>
          <t>Q2</t>
        </is>
      </c>
      <c r="C32" s="16">
        <f>SUM('Variables_And_Log'!I6:K6)</f>
        <v/>
      </c>
      <c r="D32" s="34">
        <f>G66</f>
        <v/>
      </c>
      <c r="E32" s="16">
        <f>H31</f>
        <v/>
      </c>
      <c r="F32" s="22">
        <f>IF(ISNUMBER(SEARCH("GOOD",D32)),MAX(0,I32-E32),0)</f>
        <v/>
      </c>
      <c r="G32" s="17" t="n"/>
      <c r="H32" s="16">
        <f>MAX(0,E32-C32+IF(G32="",F32,G32))</f>
        <v/>
      </c>
      <c r="I32" s="16">
        <f>H66*D66</f>
        <v/>
      </c>
    </row>
    <row r="33" ht="28" customHeight="1">
      <c r="A33" s="13" t="n">
        <v>2029</v>
      </c>
      <c r="B33" s="20" t="inlineStr">
        <is>
          <t>Q3</t>
        </is>
      </c>
      <c r="C33" s="16">
        <f>SUM('Variables_And_Log'!L6:N6)</f>
        <v/>
      </c>
      <c r="D33" s="34">
        <f>G66</f>
        <v/>
      </c>
      <c r="E33" s="16">
        <f>H32</f>
        <v/>
      </c>
      <c r="F33" s="22">
        <f>IF(ISNUMBER(SEARCH("GOOD",D33)),MAX(0,I33-E33),0)</f>
        <v/>
      </c>
      <c r="G33" s="17" t="n"/>
      <c r="H33" s="16">
        <f>MAX(0,E33-C33+IF(G33="",F33,G33))</f>
        <v/>
      </c>
      <c r="I33" s="16">
        <f>H66*D66</f>
        <v/>
      </c>
    </row>
    <row r="34" ht="28" customHeight="1">
      <c r="A34" s="13" t="n">
        <v>2029</v>
      </c>
      <c r="B34" s="20" t="inlineStr">
        <is>
          <t>Q4</t>
        </is>
      </c>
      <c r="C34" s="16">
        <f>SUM('Variables_And_Log'!O6:Q6)</f>
        <v/>
      </c>
      <c r="D34" s="34">
        <f>G66</f>
        <v/>
      </c>
      <c r="E34" s="16">
        <f>H33</f>
        <v/>
      </c>
      <c r="F34" s="22">
        <f>IF(ISNUMBER(SEARCH("GOOD",D34)),MAX(0,I34-E34),0)</f>
        <v/>
      </c>
      <c r="G34" s="17" t="n"/>
      <c r="H34" s="16">
        <f>MAX(0,E34-C34+IF(G34="",F34,G34))</f>
        <v/>
      </c>
      <c r="I34" s="16">
        <f>H66*D66</f>
        <v/>
      </c>
    </row>
    <row r="35" ht="28" customHeight="1">
      <c r="A35" s="28" t="n">
        <v>2030</v>
      </c>
      <c r="B35" s="29" t="inlineStr">
        <is>
          <t>Q1</t>
        </is>
      </c>
      <c r="C35" s="30">
        <f>SUM('Variables_And_Log'!F7:H7)</f>
        <v/>
      </c>
      <c r="D35" s="31">
        <f>G67</f>
        <v/>
      </c>
      <c r="E35" s="30">
        <f>H34</f>
        <v/>
      </c>
      <c r="F35" s="32">
        <f>IF(ISNUMBER(SEARCH("GOOD",D35)),MAX(0,I35-E35),0)</f>
        <v/>
      </c>
      <c r="G35" s="33" t="n"/>
      <c r="H35" s="30">
        <f>MAX(0,E35-C35+IF(G35="",F35,G35))</f>
        <v/>
      </c>
      <c r="I35" s="30">
        <f>H67*D67</f>
        <v/>
      </c>
    </row>
    <row r="36" ht="28" customHeight="1">
      <c r="A36" s="13" t="n">
        <v>2030</v>
      </c>
      <c r="B36" s="20" t="inlineStr">
        <is>
          <t>Q2</t>
        </is>
      </c>
      <c r="C36" s="16">
        <f>SUM('Variables_And_Log'!I7:K7)</f>
        <v/>
      </c>
      <c r="D36" s="34">
        <f>G67</f>
        <v/>
      </c>
      <c r="E36" s="16">
        <f>H35</f>
        <v/>
      </c>
      <c r="F36" s="22">
        <f>IF(ISNUMBER(SEARCH("GOOD",D36)),MAX(0,I36-E36),0)</f>
        <v/>
      </c>
      <c r="G36" s="17" t="n"/>
      <c r="H36" s="16">
        <f>MAX(0,E36-C36+IF(G36="",F36,G36))</f>
        <v/>
      </c>
      <c r="I36" s="16">
        <f>H67*D67</f>
        <v/>
      </c>
    </row>
    <row r="37" ht="28" customHeight="1">
      <c r="A37" s="13" t="n">
        <v>2030</v>
      </c>
      <c r="B37" s="20" t="inlineStr">
        <is>
          <t>Q3</t>
        </is>
      </c>
      <c r="C37" s="16">
        <f>SUM('Variables_And_Log'!L7:N7)</f>
        <v/>
      </c>
      <c r="D37" s="34">
        <f>G67</f>
        <v/>
      </c>
      <c r="E37" s="16">
        <f>H36</f>
        <v/>
      </c>
      <c r="F37" s="22">
        <f>IF(ISNUMBER(SEARCH("GOOD",D37)),MAX(0,I37-E37),0)</f>
        <v/>
      </c>
      <c r="G37" s="17" t="n"/>
      <c r="H37" s="16">
        <f>MAX(0,E37-C37+IF(G37="",F37,G37))</f>
        <v/>
      </c>
      <c r="I37" s="16">
        <f>H67*D67</f>
        <v/>
      </c>
    </row>
    <row r="38" ht="28" customHeight="1">
      <c r="A38" s="13" t="n">
        <v>2030</v>
      </c>
      <c r="B38" s="20" t="inlineStr">
        <is>
          <t>Q4</t>
        </is>
      </c>
      <c r="C38" s="16">
        <f>SUM('Variables_And_Log'!O7:Q7)</f>
        <v/>
      </c>
      <c r="D38" s="34">
        <f>G67</f>
        <v/>
      </c>
      <c r="E38" s="16">
        <f>H37</f>
        <v/>
      </c>
      <c r="F38" s="22">
        <f>IF(ISNUMBER(SEARCH("GOOD",D38)),MAX(0,I38-E38),0)</f>
        <v/>
      </c>
      <c r="G38" s="17" t="n"/>
      <c r="H38" s="16">
        <f>MAX(0,E38-C38+IF(G38="",F38,G38))</f>
        <v/>
      </c>
      <c r="I38" s="16">
        <f>H67*D67</f>
        <v/>
      </c>
    </row>
    <row r="39" ht="28" customHeight="1">
      <c r="A39" s="28" t="n">
        <v>2031</v>
      </c>
      <c r="B39" s="29" t="inlineStr">
        <is>
          <t>Q1</t>
        </is>
      </c>
      <c r="C39" s="30">
        <f>SUM('Variables_And_Log'!F8:H8)</f>
        <v/>
      </c>
      <c r="D39" s="31">
        <f>G68</f>
        <v/>
      </c>
      <c r="E39" s="30">
        <f>H38</f>
        <v/>
      </c>
      <c r="F39" s="32">
        <f>IF(ISNUMBER(SEARCH("GOOD",D39)),MAX(0,I39-E39),0)</f>
        <v/>
      </c>
      <c r="G39" s="33" t="n"/>
      <c r="H39" s="30">
        <f>MAX(0,E39-C39+IF(G39="",F39,G39))</f>
        <v/>
      </c>
      <c r="I39" s="30">
        <f>H68*D68</f>
        <v/>
      </c>
    </row>
    <row r="40" ht="28" customHeight="1">
      <c r="A40" s="13" t="n">
        <v>2031</v>
      </c>
      <c r="B40" s="20" t="inlineStr">
        <is>
          <t>Q2</t>
        </is>
      </c>
      <c r="C40" s="16">
        <f>SUM('Variables_And_Log'!I8:K8)</f>
        <v/>
      </c>
      <c r="D40" s="34">
        <f>G68</f>
        <v/>
      </c>
      <c r="E40" s="16">
        <f>H39</f>
        <v/>
      </c>
      <c r="F40" s="22">
        <f>IF(ISNUMBER(SEARCH("GOOD",D40)),MAX(0,I40-E40),0)</f>
        <v/>
      </c>
      <c r="G40" s="17" t="n"/>
      <c r="H40" s="16">
        <f>MAX(0,E40-C40+IF(G40="",F40,G40))</f>
        <v/>
      </c>
      <c r="I40" s="16">
        <f>H68*D68</f>
        <v/>
      </c>
    </row>
    <row r="41" ht="28" customHeight="1">
      <c r="A41" s="13" t="n">
        <v>2031</v>
      </c>
      <c r="B41" s="20" t="inlineStr">
        <is>
          <t>Q3</t>
        </is>
      </c>
      <c r="C41" s="16">
        <f>SUM('Variables_And_Log'!L8:N8)</f>
        <v/>
      </c>
      <c r="D41" s="34">
        <f>G68</f>
        <v/>
      </c>
      <c r="E41" s="16">
        <f>H40</f>
        <v/>
      </c>
      <c r="F41" s="22">
        <f>IF(ISNUMBER(SEARCH("GOOD",D41)),MAX(0,I41-E41),0)</f>
        <v/>
      </c>
      <c r="G41" s="17" t="n"/>
      <c r="H41" s="16">
        <f>MAX(0,E41-C41+IF(G41="",F41,G41))</f>
        <v/>
      </c>
      <c r="I41" s="16">
        <f>H68*D68</f>
        <v/>
      </c>
    </row>
    <row r="42" ht="28" customHeight="1">
      <c r="A42" s="13" t="n">
        <v>2031</v>
      </c>
      <c r="B42" s="20" t="inlineStr">
        <is>
          <t>Q4</t>
        </is>
      </c>
      <c r="C42" s="16">
        <f>SUM('Variables_And_Log'!O8:Q8)</f>
        <v/>
      </c>
      <c r="D42" s="34">
        <f>G68</f>
        <v/>
      </c>
      <c r="E42" s="16">
        <f>H41</f>
        <v/>
      </c>
      <c r="F42" s="22">
        <f>IF(ISNUMBER(SEARCH("GOOD",D42)),MAX(0,I42-E42),0)</f>
        <v/>
      </c>
      <c r="G42" s="17" t="n"/>
      <c r="H42" s="16">
        <f>MAX(0,E42-C42+IF(G42="",F42,G42))</f>
        <v/>
      </c>
      <c r="I42" s="16">
        <f>H68*D68</f>
        <v/>
      </c>
    </row>
    <row r="43" ht="28" customHeight="1">
      <c r="A43" s="28" t="n">
        <v>2032</v>
      </c>
      <c r="B43" s="29" t="inlineStr">
        <is>
          <t>Q1</t>
        </is>
      </c>
      <c r="C43" s="30">
        <f>SUM('Variables_And_Log'!F9:H9)</f>
        <v/>
      </c>
      <c r="D43" s="31">
        <f>G69</f>
        <v/>
      </c>
      <c r="E43" s="30">
        <f>H42</f>
        <v/>
      </c>
      <c r="F43" s="32">
        <f>IF(ISNUMBER(SEARCH("GOOD",D43)),MAX(0,I43-E43),0)</f>
        <v/>
      </c>
      <c r="G43" s="33" t="n"/>
      <c r="H43" s="30">
        <f>MAX(0,E43-C43+IF(G43="",F43,G43))</f>
        <v/>
      </c>
      <c r="I43" s="30">
        <f>H69*D69</f>
        <v/>
      </c>
    </row>
    <row r="44" ht="28" customHeight="1">
      <c r="A44" s="13" t="n">
        <v>2032</v>
      </c>
      <c r="B44" s="20" t="inlineStr">
        <is>
          <t>Q2</t>
        </is>
      </c>
      <c r="C44" s="16">
        <f>SUM('Variables_And_Log'!I9:K9)</f>
        <v/>
      </c>
      <c r="D44" s="34">
        <f>G69</f>
        <v/>
      </c>
      <c r="E44" s="16">
        <f>H43</f>
        <v/>
      </c>
      <c r="F44" s="22">
        <f>IF(ISNUMBER(SEARCH("GOOD",D44)),MAX(0,I44-E44),0)</f>
        <v/>
      </c>
      <c r="G44" s="17" t="n"/>
      <c r="H44" s="16">
        <f>MAX(0,E44-C44+IF(G44="",F44,G44))</f>
        <v/>
      </c>
      <c r="I44" s="16">
        <f>H69*D69</f>
        <v/>
      </c>
    </row>
    <row r="45" ht="28" customHeight="1">
      <c r="A45" s="13" t="n">
        <v>2032</v>
      </c>
      <c r="B45" s="20" t="inlineStr">
        <is>
          <t>Q3</t>
        </is>
      </c>
      <c r="C45" s="16">
        <f>SUM('Variables_And_Log'!L9:N9)</f>
        <v/>
      </c>
      <c r="D45" s="34">
        <f>G69</f>
        <v/>
      </c>
      <c r="E45" s="16">
        <f>H44</f>
        <v/>
      </c>
      <c r="F45" s="22">
        <f>IF(ISNUMBER(SEARCH("GOOD",D45)),MAX(0,I45-E45),0)</f>
        <v/>
      </c>
      <c r="G45" s="17" t="n"/>
      <c r="H45" s="16">
        <f>MAX(0,E45-C45+IF(G45="",F45,G45))</f>
        <v/>
      </c>
      <c r="I45" s="16">
        <f>H69*D69</f>
        <v/>
      </c>
    </row>
    <row r="46" ht="28" customHeight="1">
      <c r="A46" s="13" t="n">
        <v>2032</v>
      </c>
      <c r="B46" s="20" t="inlineStr">
        <is>
          <t>Q4</t>
        </is>
      </c>
      <c r="C46" s="16">
        <f>SUM('Variables_And_Log'!O9:Q9)</f>
        <v/>
      </c>
      <c r="D46" s="34">
        <f>G69</f>
        <v/>
      </c>
      <c r="E46" s="16">
        <f>H45</f>
        <v/>
      </c>
      <c r="F46" s="22">
        <f>IF(ISNUMBER(SEARCH("GOOD",D46)),MAX(0,I46-E46),0)</f>
        <v/>
      </c>
      <c r="G46" s="17" t="n"/>
      <c r="H46" s="16">
        <f>MAX(0,E46-C46+IF(G46="",F46,G46))</f>
        <v/>
      </c>
      <c r="I46" s="16">
        <f>H69*D69</f>
        <v/>
      </c>
    </row>
    <row r="47" ht="28" customHeight="1">
      <c r="A47" s="28" t="n">
        <v>2033</v>
      </c>
      <c r="B47" s="29" t="inlineStr">
        <is>
          <t>Q1</t>
        </is>
      </c>
      <c r="C47" s="30">
        <f>SUM('Variables_And_Log'!F10:H10)</f>
        <v/>
      </c>
      <c r="D47" s="31">
        <f>G70</f>
        <v/>
      </c>
      <c r="E47" s="30">
        <f>H46</f>
        <v/>
      </c>
      <c r="F47" s="32">
        <f>IF(ISNUMBER(SEARCH("GOOD",D47)),MAX(0,I47-E47),0)</f>
        <v/>
      </c>
      <c r="G47" s="33" t="n"/>
      <c r="H47" s="30">
        <f>MAX(0,E47-C47+IF(G47="",F47,G47))</f>
        <v/>
      </c>
      <c r="I47" s="30">
        <f>H70*D70</f>
        <v/>
      </c>
    </row>
    <row r="48" ht="28" customHeight="1">
      <c r="A48" s="13" t="n">
        <v>2033</v>
      </c>
      <c r="B48" s="20" t="inlineStr">
        <is>
          <t>Q2</t>
        </is>
      </c>
      <c r="C48" s="16">
        <f>SUM('Variables_And_Log'!I10:K10)</f>
        <v/>
      </c>
      <c r="D48" s="34">
        <f>G70</f>
        <v/>
      </c>
      <c r="E48" s="16">
        <f>H47</f>
        <v/>
      </c>
      <c r="F48" s="22">
        <f>IF(ISNUMBER(SEARCH("GOOD",D48)),MAX(0,I48-E48),0)</f>
        <v/>
      </c>
      <c r="G48" s="17" t="n"/>
      <c r="H48" s="16">
        <f>MAX(0,E48-C48+IF(G48="",F48,G48))</f>
        <v/>
      </c>
      <c r="I48" s="16">
        <f>H70*D70</f>
        <v/>
      </c>
    </row>
    <row r="49" ht="28" customHeight="1">
      <c r="A49" s="13" t="n">
        <v>2033</v>
      </c>
      <c r="B49" s="20" t="inlineStr">
        <is>
          <t>Q3</t>
        </is>
      </c>
      <c r="C49" s="16">
        <f>SUM('Variables_And_Log'!L10:N10)</f>
        <v/>
      </c>
      <c r="D49" s="34">
        <f>G70</f>
        <v/>
      </c>
      <c r="E49" s="16">
        <f>H48</f>
        <v/>
      </c>
      <c r="F49" s="22">
        <f>IF(ISNUMBER(SEARCH("GOOD",D49)),MAX(0,I49-E49),0)</f>
        <v/>
      </c>
      <c r="G49" s="17" t="n"/>
      <c r="H49" s="16">
        <f>MAX(0,E49-C49+IF(G49="",F49,G49))</f>
        <v/>
      </c>
      <c r="I49" s="16">
        <f>H70*D70</f>
        <v/>
      </c>
    </row>
    <row r="50" ht="28" customHeight="1">
      <c r="A50" s="13" t="n">
        <v>2033</v>
      </c>
      <c r="B50" s="20" t="inlineStr">
        <is>
          <t>Q4</t>
        </is>
      </c>
      <c r="C50" s="16">
        <f>SUM('Variables_And_Log'!O10:Q10)</f>
        <v/>
      </c>
      <c r="D50" s="34">
        <f>G70</f>
        <v/>
      </c>
      <c r="E50" s="16">
        <f>H49</f>
        <v/>
      </c>
      <c r="F50" s="22">
        <f>IF(ISNUMBER(SEARCH("GOOD",D50)),MAX(0,I50-E50),0)</f>
        <v/>
      </c>
      <c r="G50" s="17" t="n"/>
      <c r="H50" s="16">
        <f>MAX(0,E50-C50+IF(G50="",F50,G50))</f>
        <v/>
      </c>
      <c r="I50" s="16">
        <f>H70*D70</f>
        <v/>
      </c>
    </row>
    <row r="51" ht="28" customHeight="1">
      <c r="A51" s="28" t="n">
        <v>2034</v>
      </c>
      <c r="B51" s="29" t="inlineStr">
        <is>
          <t>Q1</t>
        </is>
      </c>
      <c r="C51" s="30">
        <f>SUM('Variables_And_Log'!F11:H11)</f>
        <v/>
      </c>
      <c r="D51" s="31">
        <f>G71</f>
        <v/>
      </c>
      <c r="E51" s="30">
        <f>H50</f>
        <v/>
      </c>
      <c r="F51" s="32">
        <f>IF(ISNUMBER(SEARCH("GOOD",D51)),MAX(0,I51-E51),0)</f>
        <v/>
      </c>
      <c r="G51" s="33" t="n"/>
      <c r="H51" s="30">
        <f>MAX(0,E51-C51+IF(G51="",F51,G51))</f>
        <v/>
      </c>
      <c r="I51" s="30">
        <f>H71*D71</f>
        <v/>
      </c>
    </row>
    <row r="52" ht="28" customHeight="1">
      <c r="A52" s="13" t="n">
        <v>2034</v>
      </c>
      <c r="B52" s="20" t="inlineStr">
        <is>
          <t>Q2</t>
        </is>
      </c>
      <c r="C52" s="16">
        <f>SUM('Variables_And_Log'!I11:K11)</f>
        <v/>
      </c>
      <c r="D52" s="34">
        <f>G71</f>
        <v/>
      </c>
      <c r="E52" s="16">
        <f>H51</f>
        <v/>
      </c>
      <c r="F52" s="22">
        <f>IF(ISNUMBER(SEARCH("GOOD",D52)),MAX(0,I52-E52),0)</f>
        <v/>
      </c>
      <c r="G52" s="17" t="n"/>
      <c r="H52" s="16">
        <f>MAX(0,E52-C52+IF(G52="",F52,G52))</f>
        <v/>
      </c>
      <c r="I52" s="16">
        <f>H71*D71</f>
        <v/>
      </c>
    </row>
    <row r="53" ht="28" customHeight="1">
      <c r="A53" s="13" t="n">
        <v>2034</v>
      </c>
      <c r="B53" s="20" t="inlineStr">
        <is>
          <t>Q3</t>
        </is>
      </c>
      <c r="C53" s="16">
        <f>SUM('Variables_And_Log'!L11:N11)</f>
        <v/>
      </c>
      <c r="D53" s="34">
        <f>G71</f>
        <v/>
      </c>
      <c r="E53" s="16">
        <f>H52</f>
        <v/>
      </c>
      <c r="F53" s="22">
        <f>IF(ISNUMBER(SEARCH("GOOD",D53)),MAX(0,I53-E53),0)</f>
        <v/>
      </c>
      <c r="G53" s="17" t="n"/>
      <c r="H53" s="16">
        <f>MAX(0,E53-C53+IF(G53="",F53,G53))</f>
        <v/>
      </c>
      <c r="I53" s="16">
        <f>H71*D71</f>
        <v/>
      </c>
    </row>
    <row r="54" ht="28" customHeight="1">
      <c r="A54" s="13" t="n">
        <v>2034</v>
      </c>
      <c r="B54" s="20" t="inlineStr">
        <is>
          <t>Q4</t>
        </is>
      </c>
      <c r="C54" s="16">
        <f>SUM('Variables_And_Log'!O11:Q11)</f>
        <v/>
      </c>
      <c r="D54" s="34">
        <f>G71</f>
        <v/>
      </c>
      <c r="E54" s="16">
        <f>H53</f>
        <v/>
      </c>
      <c r="F54" s="22">
        <f>IF(ISNUMBER(SEARCH("GOOD",D54)),MAX(0,I54-E54),0)</f>
        <v/>
      </c>
      <c r="G54" s="17" t="n"/>
      <c r="H54" s="16">
        <f>MAX(0,E54-C54+IF(G54="",F54,G54))</f>
        <v/>
      </c>
      <c r="I54" s="16">
        <f>H71*D71</f>
        <v/>
      </c>
    </row>
    <row r="55" ht="28" customHeight="1">
      <c r="A55" s="28" t="n">
        <v>2035</v>
      </c>
      <c r="B55" s="29" t="inlineStr">
        <is>
          <t>Q1</t>
        </is>
      </c>
      <c r="C55" s="30">
        <f>SUM('Variables_And_Log'!F12:H12)</f>
        <v/>
      </c>
      <c r="D55" s="31">
        <f>G72</f>
        <v/>
      </c>
      <c r="E55" s="30">
        <f>H54</f>
        <v/>
      </c>
      <c r="F55" s="32">
        <f>IF(ISNUMBER(SEARCH("GOOD",D55)),MAX(0,I55-E55),0)</f>
        <v/>
      </c>
      <c r="G55" s="33" t="n"/>
      <c r="H55" s="30">
        <f>MAX(0,E55-C55+IF(G55="",F55,G55))</f>
        <v/>
      </c>
      <c r="I55" s="30">
        <f>H72*D72</f>
        <v/>
      </c>
    </row>
    <row r="56" ht="28" customHeight="1">
      <c r="A56" s="13" t="n">
        <v>2035</v>
      </c>
      <c r="B56" s="20" t="inlineStr">
        <is>
          <t>Q2</t>
        </is>
      </c>
      <c r="C56" s="16">
        <f>SUM('Variables_And_Log'!I12:K12)</f>
        <v/>
      </c>
      <c r="D56" s="34">
        <f>G72</f>
        <v/>
      </c>
      <c r="E56" s="16">
        <f>H55</f>
        <v/>
      </c>
      <c r="F56" s="22">
        <f>IF(ISNUMBER(SEARCH("GOOD",D56)),MAX(0,I56-E56),0)</f>
        <v/>
      </c>
      <c r="G56" s="17" t="n"/>
      <c r="H56" s="16">
        <f>MAX(0,E56-C56+IF(G56="",F56,G56))</f>
        <v/>
      </c>
      <c r="I56" s="16">
        <f>H72*D72</f>
        <v/>
      </c>
    </row>
    <row r="57" ht="28" customHeight="1">
      <c r="A57" s="13" t="n">
        <v>2035</v>
      </c>
      <c r="B57" s="20" t="inlineStr">
        <is>
          <t>Q3</t>
        </is>
      </c>
      <c r="C57" s="16">
        <f>SUM('Variables_And_Log'!L12:N12)</f>
        <v/>
      </c>
      <c r="D57" s="34">
        <f>G72</f>
        <v/>
      </c>
      <c r="E57" s="16">
        <f>H56</f>
        <v/>
      </c>
      <c r="F57" s="22">
        <f>IF(ISNUMBER(SEARCH("GOOD",D57)),MAX(0,I57-E57),0)</f>
        <v/>
      </c>
      <c r="G57" s="17" t="n"/>
      <c r="H57" s="16">
        <f>MAX(0,E57-C57+IF(G57="",F57,G57))</f>
        <v/>
      </c>
      <c r="I57" s="16">
        <f>H72*D72</f>
        <v/>
      </c>
    </row>
    <row r="58" ht="28" customHeight="1">
      <c r="A58" s="13" t="n">
        <v>2035</v>
      </c>
      <c r="B58" s="20" t="inlineStr">
        <is>
          <t>Q4</t>
        </is>
      </c>
      <c r="C58" s="16">
        <f>SUM('Variables_And_Log'!O12:Q12)</f>
        <v/>
      </c>
      <c r="D58" s="34">
        <f>G72</f>
        <v/>
      </c>
      <c r="E58" s="16">
        <f>H57</f>
        <v/>
      </c>
      <c r="F58" s="22">
        <f>IF(ISNUMBER(SEARCH("GOOD",D58)),MAX(0,I58-E58),0)</f>
        <v/>
      </c>
      <c r="G58" s="17" t="n"/>
      <c r="H58" s="16">
        <f>MAX(0,E58-C58+IF(G58="",F58,G58))</f>
        <v/>
      </c>
      <c r="I58" s="16">
        <f>H72*D72</f>
        <v/>
      </c>
    </row>
    <row r="59"/>
    <row r="60"/>
    <row r="61" ht="20" customHeight="1">
      <c r="A61" s="2" t="inlineStr">
        <is>
          <t>ANNUAL SRR HURDLE MODEL — SIMULATED WEALTH VS. HURDLE (GATES THE QUARTERLY REFILL ABOVE)</t>
        </is>
      </c>
      <c r="B61" s="2" t="n"/>
      <c r="C61" s="2" t="n"/>
      <c r="D61" s="2" t="n"/>
      <c r="E61" s="2" t="n"/>
      <c r="F61" s="2" t="n"/>
      <c r="G61" s="2" t="n"/>
      <c r="H61" s="2" t="n"/>
    </row>
    <row r="62" ht="40" customHeight="1">
      <c r="A62" s="10" t="inlineStr">
        <is>
          <t>Year</t>
        </is>
      </c>
      <c r="B62" s="10" t="inlineStr">
        <is>
          <t>Total Annual Hurdle Rate</t>
        </is>
      </c>
      <c r="C62" s="10" t="inlineStr">
        <is>
          <t>Annual Outflows (W_t)</t>
        </is>
      </c>
      <c r="D62" s="10" t="inlineStr">
        <is>
          <t>Simulated Target Portfolio (P_track)</t>
        </is>
      </c>
      <c r="E62" s="10" t="inlineStr">
        <is>
          <t>Scenario Return (Selected, This Year)</t>
        </is>
      </c>
      <c r="F62" s="10" t="inlineStr">
        <is>
          <t>Simulated Actual Household Wealth (This Year)</t>
        </is>
      </c>
      <c r="G62" s="10" t="inlineStr">
        <is>
          <t>Performance Logic Trigger</t>
        </is>
      </c>
      <c r="H62" s="10" t="inlineStr">
        <is>
          <t>Safety Anchor % (This Year)</t>
        </is>
      </c>
    </row>
    <row r="63" ht="28" customHeight="1">
      <c r="A63" s="13" t="n">
        <v>2026</v>
      </c>
      <c r="B63" s="15">
        <f>'Variables_And_Log'!D3</f>
        <v/>
      </c>
      <c r="C63" s="16">
        <f>'Variables_And_Log'!E3</f>
        <v/>
      </c>
      <c r="D63" s="16">
        <f>ROUND(($B$3*B63)-C63,2)</f>
        <v/>
      </c>
      <c r="E63" s="15">
        <f>'Variables_And_Log'!U3</f>
        <v/>
      </c>
      <c r="F63" s="22">
        <f>ROUND(($B$3*(1+E63))-C63,2)</f>
        <v/>
      </c>
      <c r="G63" s="34">
        <f>IF(F63&gt;=D63,"✅ GOOD: Execute T2065 Rebalance &amp; Rollover to TSP","⚠️ POOR: Freeze Equities. Draw Down G Fund")</f>
        <v/>
      </c>
      <c r="H63" s="15">
        <f>IF(A63-$D$7&gt;=$D$9,$D$11,$D$10+($D$11-$D$10)*(A63-$D$7)/$D$9)</f>
        <v/>
      </c>
    </row>
    <row r="64" ht="28" customHeight="1">
      <c r="A64" s="13" t="n">
        <v>2027</v>
      </c>
      <c r="B64" s="15">
        <f>'Variables_And_Log'!D4</f>
        <v/>
      </c>
      <c r="C64" s="16">
        <f>'Variables_And_Log'!E4</f>
        <v/>
      </c>
      <c r="D64" s="16">
        <f>ROUND((D63*B64)-C64,2)</f>
        <v/>
      </c>
      <c r="E64" s="15">
        <f>'Variables_And_Log'!U4</f>
        <v/>
      </c>
      <c r="F64" s="22">
        <f>ROUND((F63*(1+E64))-C64,2)</f>
        <v/>
      </c>
      <c r="G64" s="34">
        <f>IF(F64&gt;=D64,"✅ GOOD: Execute T2065 Rebalance &amp; Rollover to TSP","⚠️ POOR: Freeze Equities. Draw Down G Fund")</f>
        <v/>
      </c>
      <c r="H64" s="15">
        <f>IF(A64-$D$7&gt;=$D$9,$D$11,$D$10+($D$11-$D$10)*(A64-$D$7)/$D$9)</f>
        <v/>
      </c>
    </row>
    <row r="65" ht="28" customHeight="1">
      <c r="A65" s="13" t="n">
        <v>2028</v>
      </c>
      <c r="B65" s="15">
        <f>'Variables_And_Log'!D5</f>
        <v/>
      </c>
      <c r="C65" s="16">
        <f>'Variables_And_Log'!E5</f>
        <v/>
      </c>
      <c r="D65" s="16">
        <f>ROUND((D64*B65)-C65,2)</f>
        <v/>
      </c>
      <c r="E65" s="15">
        <f>'Variables_And_Log'!U5</f>
        <v/>
      </c>
      <c r="F65" s="22">
        <f>ROUND((F64*(1+E65))-C65,2)</f>
        <v/>
      </c>
      <c r="G65" s="34">
        <f>IF(F65&gt;=D65,"✅ GOOD: Execute T2065 Rebalance &amp; Rollover to TSP","⚠️ POOR: Freeze Equities. Draw Down G Fund")</f>
        <v/>
      </c>
      <c r="H65" s="15">
        <f>IF(A65-$D$7&gt;=$D$9,$D$11,$D$10+($D$11-$D$10)*(A65-$D$7)/$D$9)</f>
        <v/>
      </c>
    </row>
    <row r="66" ht="28" customHeight="1">
      <c r="A66" s="13" t="n">
        <v>2029</v>
      </c>
      <c r="B66" s="15">
        <f>'Variables_And_Log'!D6</f>
        <v/>
      </c>
      <c r="C66" s="16">
        <f>'Variables_And_Log'!E6</f>
        <v/>
      </c>
      <c r="D66" s="16">
        <f>ROUND((D65*B66)-C66,2)</f>
        <v/>
      </c>
      <c r="E66" s="15">
        <f>'Variables_And_Log'!U6</f>
        <v/>
      </c>
      <c r="F66" s="22">
        <f>ROUND((F65*(1+E66))-C66,2)</f>
        <v/>
      </c>
      <c r="G66" s="34">
        <f>IF(F66&gt;=D66,"✅ GOOD: Execute T2065 Rebalance &amp; Rollover to TSP","⚠️ POOR: Freeze Equities. Draw Down G Fund")</f>
        <v/>
      </c>
      <c r="H66" s="15">
        <f>IF(A66-$D$7&gt;=$D$9,$D$11,$D$10+($D$11-$D$10)*(A66-$D$7)/$D$9)</f>
        <v/>
      </c>
    </row>
    <row r="67" ht="28" customHeight="1">
      <c r="A67" s="13" t="n">
        <v>2030</v>
      </c>
      <c r="B67" s="15">
        <f>'Variables_And_Log'!D7</f>
        <v/>
      </c>
      <c r="C67" s="16">
        <f>'Variables_And_Log'!E7</f>
        <v/>
      </c>
      <c r="D67" s="16">
        <f>ROUND((D66*B67)-C67,2)</f>
        <v/>
      </c>
      <c r="E67" s="15">
        <f>'Variables_And_Log'!U7</f>
        <v/>
      </c>
      <c r="F67" s="22">
        <f>ROUND((F66*(1+E67))-C67,2)</f>
        <v/>
      </c>
      <c r="G67" s="34">
        <f>IF(F67&gt;=D67,"✅ GOOD: Execute T2065 Rebalance &amp; Rollover to TSP","⚠️ POOR: Freeze Equities. Draw Down G Fund")</f>
        <v/>
      </c>
      <c r="H67" s="15">
        <f>IF(A67-$D$7&gt;=$D$9,$D$11,$D$10+($D$11-$D$10)*(A67-$D$7)/$D$9)</f>
        <v/>
      </c>
    </row>
    <row r="68" ht="28" customHeight="1">
      <c r="A68" s="13" t="n">
        <v>2031</v>
      </c>
      <c r="B68" s="15">
        <f>'Variables_And_Log'!D8</f>
        <v/>
      </c>
      <c r="C68" s="16">
        <f>'Variables_And_Log'!E8</f>
        <v/>
      </c>
      <c r="D68" s="16">
        <f>ROUND((D67*B68)-C68,2)</f>
        <v/>
      </c>
      <c r="E68" s="15">
        <f>'Variables_And_Log'!U8</f>
        <v/>
      </c>
      <c r="F68" s="22">
        <f>ROUND((F67*(1+E68))-C68,2)</f>
        <v/>
      </c>
      <c r="G68" s="34">
        <f>IF(F68&gt;=D68,"✅ GOOD: Execute T2065 Rebalance &amp; Rollover to TSP","⚠️ POOR: Freeze Equities. Draw Down G Fund")</f>
        <v/>
      </c>
      <c r="H68" s="15">
        <f>IF(A68-$D$7&gt;=$D$9,$D$11,$D$10+($D$11-$D$10)*(A68-$D$7)/$D$9)</f>
        <v/>
      </c>
    </row>
    <row r="69" ht="28" customHeight="1">
      <c r="A69" s="13" t="n">
        <v>2032</v>
      </c>
      <c r="B69" s="15">
        <f>'Variables_And_Log'!D9</f>
        <v/>
      </c>
      <c r="C69" s="16">
        <f>'Variables_And_Log'!E9</f>
        <v/>
      </c>
      <c r="D69" s="16">
        <f>ROUND((D68*B69)-C69,2)</f>
        <v/>
      </c>
      <c r="E69" s="15">
        <f>'Variables_And_Log'!U9</f>
        <v/>
      </c>
      <c r="F69" s="22">
        <f>ROUND((F68*(1+E69))-C69,2)</f>
        <v/>
      </c>
      <c r="G69" s="34">
        <f>IF(F69&gt;=D69,"✅ GOOD: Execute T2065 Rebalance &amp; Rollover to TSP","⚠️ POOR: Freeze Equities. Draw Down G Fund")</f>
        <v/>
      </c>
      <c r="H69" s="15">
        <f>IF(A69-$D$7&gt;=$D$9,$D$11,$D$10+($D$11-$D$10)*(A69-$D$7)/$D$9)</f>
        <v/>
      </c>
    </row>
    <row r="70" ht="28" customHeight="1">
      <c r="A70" s="13" t="n">
        <v>2033</v>
      </c>
      <c r="B70" s="15">
        <f>'Variables_And_Log'!D10</f>
        <v/>
      </c>
      <c r="C70" s="16">
        <f>'Variables_And_Log'!E10</f>
        <v/>
      </c>
      <c r="D70" s="16">
        <f>ROUND((D69*B70)-C70,2)</f>
        <v/>
      </c>
      <c r="E70" s="15">
        <f>'Variables_And_Log'!U10</f>
        <v/>
      </c>
      <c r="F70" s="22">
        <f>ROUND((F69*(1+E70))-C70,2)</f>
        <v/>
      </c>
      <c r="G70" s="34">
        <f>IF(F70&gt;=D70,"✅ GOOD: Execute T2065 Rebalance &amp; Rollover to TSP","⚠️ POOR: Freeze Equities. Draw Down G Fund")</f>
        <v/>
      </c>
      <c r="H70" s="15">
        <f>IF(A70-$D$7&gt;=$D$9,$D$11,$D$10+($D$11-$D$10)*(A70-$D$7)/$D$9)</f>
        <v/>
      </c>
    </row>
    <row r="71" ht="28" customHeight="1">
      <c r="A71" s="13" t="n">
        <v>2034</v>
      </c>
      <c r="B71" s="15">
        <f>'Variables_And_Log'!D11</f>
        <v/>
      </c>
      <c r="C71" s="16">
        <f>'Variables_And_Log'!E11</f>
        <v/>
      </c>
      <c r="D71" s="16">
        <f>ROUND((D70*B71)-C71,2)</f>
        <v/>
      </c>
      <c r="E71" s="15">
        <f>'Variables_And_Log'!U11</f>
        <v/>
      </c>
      <c r="F71" s="22">
        <f>ROUND((F70*(1+E71))-C71,2)</f>
        <v/>
      </c>
      <c r="G71" s="34">
        <f>IF(F71&gt;=D71,"✅ GOOD: Execute T2065 Rebalance &amp; Rollover to TSP","⚠️ POOR: Freeze Equities. Draw Down G Fund")</f>
        <v/>
      </c>
      <c r="H71" s="15">
        <f>IF(A71-$D$7&gt;=$D$9,$D$11,$D$10+($D$11-$D$10)*(A71-$D$7)/$D$9)</f>
        <v/>
      </c>
    </row>
    <row r="72" ht="28" customHeight="1">
      <c r="A72" s="13" t="n">
        <v>2035</v>
      </c>
      <c r="B72" s="15">
        <f>'Variables_And_Log'!D12</f>
        <v/>
      </c>
      <c r="C72" s="16">
        <f>'Variables_And_Log'!E12</f>
        <v/>
      </c>
      <c r="D72" s="16">
        <f>ROUND((D71*B72)-C72,2)</f>
        <v/>
      </c>
      <c r="E72" s="15">
        <f>'Variables_And_Log'!U12</f>
        <v/>
      </c>
      <c r="F72" s="22">
        <f>ROUND((F71*(1+E72))-C72,2)</f>
        <v/>
      </c>
      <c r="G72" s="34">
        <f>IF(F72&gt;=D72,"✅ GOOD: Execute T2065 Rebalance &amp; Rollover to TSP","⚠️ POOR: Freeze Equities. Draw Down G Fund")</f>
        <v/>
      </c>
      <c r="H72" s="15">
        <f>IF(A72-$D$7&gt;=$D$9,$D$11,$D$10+($D$11-$D$10)*(A72-$D$7)/$D$9)</f>
        <v/>
      </c>
    </row>
    <row r="73"/>
    <row r="74">
      <c r="A74" s="2" t="inlineStr">
        <is>
          <t>EXTRA CAPACITY INDICATORS</t>
        </is>
      </c>
      <c r="B74" s="2" t="n"/>
      <c r="C74" s="2" t="n"/>
    </row>
    <row r="75">
      <c r="A75" s="24" t="inlineStr">
        <is>
          <t>Your Pre-Tax Rollover Conduit Capacity</t>
        </is>
      </c>
      <c r="B75" s="16">
        <f>'Account_Tracker'!$C$3</f>
        <v/>
      </c>
      <c r="C75" s="21">
        <f>IF(B75&gt;0,"Conduit Open","Conduit Closed")</f>
        <v/>
      </c>
    </row>
    <row r="76"/>
    <row r="77">
      <c r="A77" s="24" t="inlineStr">
        <is>
          <t>TSP Cash Buffer Runway (Months)</t>
        </is>
      </c>
      <c r="B77" s="35">
        <f>IFERROR('Account_Tracker'!$C$2/AVERAGE('Variables_And_Log'!$F$3:$Q$3),"Log Monthly Payments to Calculate")</f>
        <v/>
      </c>
      <c r="C77" s="21">
        <f>IF(ISNUMBER(B77),IF(B77&gt;36,"Safe: 3+ Year Volatility Shield","Caution: Shield Shrinking"),"Awaiting Payment Data")</f>
        <v/>
      </c>
    </row>
    <row r="78">
      <c r="A78" s="19" t="inlineStr">
        <is>
          <t>(Runway uses the average of 2026's monthly TSP payments, and the G Fund's Year-1 starting balance -- it does not reflect the quarter-by-quarter projection above.)</t>
        </is>
      </c>
    </row>
    <row r="79"/>
    <row r="80">
      <c r="A80" s="2" t="inlineStr">
        <is>
          <t>EMERGENCY LIQUIDITY PROTOCOL — NEXT-DOLLAR PRIORITY ENGINE</t>
        </is>
      </c>
      <c r="B80" s="2" t="n"/>
      <c r="C80" s="2" t="n"/>
      <c r="D80" s="2" t="n"/>
      <c r="E80" s="2" t="n"/>
    </row>
    <row r="81" ht="60" customHeight="1">
      <c r="A81" s="24" t="inlineStr">
        <is>
          <t>Next-Dollar Liquidity Priority</t>
        </is>
      </c>
      <c r="B81" s="36">
        <f>IF('Account_Tracker'!$C$2&gt;0,"🛡️ SHIELD ACTIVE: Continue automated monthly draws directly from the TSP G Fund. Your equity engines are fully insulated from sequence-of-returns risk.",IF(AND('Account_Tracker'!$C$2=0,'Account_Tracker'!$C$8&gt;0),"⚠️ SHIELD BROKEN: TSP G Fund is exhausted. IMMEDIATELY divert monthly checking draws to your Merrill Edge Cash Buffer. This buys next-day liquidity via Bank of America without forced retirement asset sales.",IF(AND('Account_Tracker'!$C$2=0,'Account_Tracker'!$C$8=0,'Account_Tracker'!$C$6&gt;0),"🚨 EMERGENCY LIQUIDATION - STAGE 1: G Fund and Cash Buffers are exhausted. Turn on monthly distributions from Spouse's Current Employer 403b. Their pre-tax employer plan qualifies for the Maryland Pension Exclusion at age 65, making it more tax-efficient than touching your private traditional IRA.","💥 NUCLEAR PROTOCOL - STAGE 2: Absolute liquidity crisis. You are forced to break all shields. Begin selling shares of the 2065 Target Date Funds within your Private Traditional IRAs to fund monthly expenses. Maximize tax withholding at the time of distribution to shield your remaining capital from underpayment penalties.")))</f>
        <v/>
      </c>
      <c r="C81" s="5" t="n"/>
      <c r="D81" s="5" t="n"/>
      <c r="E81" s="5" t="n"/>
    </row>
    <row r="82" ht="20" customHeight="1">
      <c r="B82" s="5" t="n"/>
      <c r="C82" s="5" t="n"/>
      <c r="D82" s="5" t="n"/>
      <c r="E82" s="5" t="n"/>
    </row>
    <row r="83" ht="20" customHeight="1">
      <c r="B83" s="5" t="n"/>
      <c r="C83" s="5" t="n"/>
      <c r="D83" s="5" t="n"/>
      <c r="E83" s="5" t="n"/>
    </row>
    <row r="84"/>
    <row r="85">
      <c r="A85" s="19" t="inlineStr">
        <is>
          <t>Legend: pale-yellow cells are yours to type into (pre-filled here with illustrative example numbers); white cells hold formulas or fixed scenario assumptions -- please don't overwrite them.</t>
        </is>
      </c>
    </row>
  </sheetData>
  <mergeCells count="7">
    <mergeCell ref="A5:D5"/>
    <mergeCell ref="B81:E83"/>
    <mergeCell ref="A74:C74"/>
    <mergeCell ref="A17:I17"/>
    <mergeCell ref="C1:I1"/>
    <mergeCell ref="A80:E80"/>
    <mergeCell ref="A61:H61"/>
  </mergeCells>
  <conditionalFormatting sqref="B81:B83">
    <cfRule type="expression" priority="1" dxfId="0">
      <formula>'Account_Tracker'!$C$2&gt;0</formula>
    </cfRule>
    <cfRule type="expression" priority="2" dxfId="1">
      <formula>AND('Account_Tracker'!$C$2=0,'Account_Tracker'!$C$8&gt;0)</formula>
    </cfRule>
    <cfRule type="expression" priority="3" dxfId="2">
      <formula>AND('Account_Tracker'!$C$2=0,'Account_Tracker'!$C$8=0)</formula>
    </cfRule>
  </conditionalFormatting>
  <dataValidations count="1">
    <dataValidation sqref="B1" showDropDown="0" showInputMessage="0" showErrorMessage="0" allowBlank="0" type="list">
      <formula1>"Bear,Bull,Choppy"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showGridLines="1" workbookViewId="0">
      <selection activeCell="A1" sqref="A1"/>
    </sheetView>
  </sheetViews>
  <sheetFormatPr baseColWidth="8" defaultRowHeight="15"/>
  <sheetData>
    <row r="1" ht="24" customHeight="1">
      <c r="A1" s="1" t="inlineStr">
        <is>
          <t>SIMULATED WEALTH VS. HURDLE — SELECTED SCENARIO</t>
        </is>
      </c>
      <c r="B1" s="1" t="n"/>
      <c r="C1" s="1" t="n"/>
      <c r="D1" s="1" t="n"/>
      <c r="E1" s="1" t="n"/>
      <c r="F1" s="1" t="n"/>
    </row>
    <row r="3" ht="68" customHeight="1">
      <c r="A3" s="3" t="inlineStr">
        <is>
          <t>This chart reads directly from the Annual SRR Hurdle Model table on The_Refill_Engine -- there is nothing to edit here. It redraws automatically for whichever scenario is selected there: watch Simulated Actual Household Wealth stay under the hurdle (P_track) for the whole Bear run, clear it every year under Bull, and cross back and forth under Choppy.</t>
        </is>
      </c>
    </row>
  </sheetData>
  <mergeCells count="1">
    <mergeCell ref="A1:F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2026-09-03T19:07:43Z</dcterms:created>
  <dcterms:modified xmlns:dcterms="http://purl.org/dc/terms/" xmlns:xsi="http://www.w3.org/2001/XMLSchema-instance" xsi:type="dcterms:W3CDTF">2026-09-03T19:07:43Z</dcterms:modified>
</cp:coreProperties>
</file>