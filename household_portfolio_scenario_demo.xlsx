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ation" sheetId="1" state="visible" r:id="rId1"/>
    <sheet xmlns:r="http://schemas.openxmlformats.org/officeDocument/2006/relationships" name="Variables_And_Log" sheetId="2" state="visible" r:id="rId2"/>
    <sheet xmlns:r="http://schemas.openxmlformats.org/officeDocument/2006/relationships" name="Account_Tracker" sheetId="3" state="visible" r:id="rId3"/>
    <sheet xmlns:r="http://schemas.openxmlformats.org/officeDocument/2006/relationships" name="The_Refill_Engine" sheetId="4" state="visible" r:id="rId4"/>
  </sheets>
  <definedNames/>
  <calcPr calcId="124519" fullCalcOnLoad="1"/>
</workbook>
</file>

<file path=xl/styles.xml><?xml version="1.0" encoding="utf-8"?>
<styleSheet xmlns="http://schemas.openxmlformats.org/spreadsheetml/2006/main">
  <numFmts count="2">
    <numFmt numFmtId="164" formatCode="$#,##0"/>
    <numFmt numFmtId="165" formatCode="0.0"/>
  </numFmts>
  <fonts count="6">
    <font>
      <name val="Calibri"/>
      <family val="2"/>
      <color theme="1"/>
      <sz val="11"/>
      <scheme val="minor"/>
    </font>
    <font>
      <name val="Segoe UI"/>
      <b val="1"/>
      <color rgb="00FFFFFF"/>
      <sz val="11"/>
    </font>
    <font>
      <name val="Segoe UI"/>
      <sz val="11"/>
    </font>
    <font>
      <name val="Segoe UI"/>
      <b val="1"/>
      <sz val="11"/>
    </font>
    <font>
      <name val="Segoe UI"/>
      <i val="1"/>
      <color rgb="00595959"/>
      <sz val="9"/>
    </font>
    <font>
      <name val="Segoe UI"/>
      <sz val="10"/>
    </font>
  </fonts>
  <fills count="9">
    <fill>
      <patternFill/>
    </fill>
    <fill>
      <patternFill patternType="gray125"/>
    </fill>
    <fill>
      <patternFill patternType="solid">
        <fgColor rgb="001F3864"/>
        <bgColor rgb="001F3864"/>
      </patternFill>
    </fill>
    <fill>
      <patternFill patternType="solid">
        <fgColor rgb="0044546A"/>
        <bgColor rgb="0044546A"/>
      </patternFill>
    </fill>
    <fill>
      <patternFill patternType="solid">
        <fgColor rgb="00FFFDE7"/>
        <bgColor rgb="00FFFDE7"/>
      </patternFill>
    </fill>
    <fill>
      <patternFill patternType="solid">
        <fgColor rgb="00DCE6F1"/>
        <bgColor rgb="00DCE6F1"/>
      </patternFill>
    </fill>
    <fill>
      <patternFill patternType="solid">
        <fgColor rgb="00E2EFDA"/>
        <bgColor rgb="00E2EFDA"/>
      </patternFill>
    </fill>
    <fill>
      <patternFill patternType="solid">
        <fgColor rgb="00FFF2CC"/>
        <bgColor rgb="00FFF2CC"/>
      </patternFill>
    </fill>
    <fill>
      <patternFill patternType="solid">
        <fgColor rgb="00FCE4E4"/>
        <bgColor rgb="00FCE4E4"/>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medium">
        <color rgb="001F3864"/>
      </top>
      <bottom style="thin">
        <color rgb="00BFBFBF"/>
      </bottom>
    </border>
  </borders>
  <cellStyleXfs count="1">
    <xf numFmtId="0" fontId="0" fillId="0" borderId="0"/>
  </cellStyleXfs>
  <cellXfs count="37">
    <xf numFmtId="0" fontId="0" fillId="0" borderId="0" pivotButton="0" quotePrefix="0" xfId="0"/>
    <xf numFmtId="0" fontId="1" fillId="2" borderId="1" pivotButton="0" quotePrefix="0" xfId="0"/>
    <xf numFmtId="0" fontId="1" fillId="3" borderId="1" pivotButton="0" quotePrefix="0" xfId="0"/>
    <xf numFmtId="0" fontId="2" fillId="0" borderId="0" applyAlignment="1" pivotButton="0" quotePrefix="0" xfId="0">
      <alignment horizontal="left" vertical="top" wrapText="1"/>
    </xf>
    <xf numFmtId="0" fontId="0" fillId="4" borderId="1" pivotButton="0" quotePrefix="0" xfId="0"/>
    <xf numFmtId="0" fontId="0" fillId="0" borderId="1" pivotButton="0" quotePrefix="0" xfId="0"/>
    <xf numFmtId="0" fontId="0" fillId="5" borderId="1" pivotButton="0" quotePrefix="0" xfId="0"/>
    <xf numFmtId="0" fontId="0" fillId="6" borderId="1" pivotButton="0" quotePrefix="0" xfId="0"/>
    <xf numFmtId="0" fontId="0" fillId="7" borderId="1" pivotButton="0" quotePrefix="0" xfId="0"/>
    <xf numFmtId="0" fontId="0" fillId="8" borderId="1" pivotButton="0" quotePrefix="0" xfId="0"/>
    <xf numFmtId="0" fontId="1" fillId="2" borderId="1" applyAlignment="1" pivotButton="0" quotePrefix="0" xfId="0">
      <alignment horizontal="center" vertical="center" wrapText="1"/>
    </xf>
    <xf numFmtId="0" fontId="3" fillId="0" borderId="1" applyAlignment="1" pivotButton="0" quotePrefix="0" xfId="0">
      <alignment horizontal="left" vertical="top" wrapText="1"/>
    </xf>
    <xf numFmtId="0" fontId="2" fillId="0" borderId="1" applyAlignment="1" pivotButton="0" quotePrefix="0" xfId="0">
      <alignment horizontal="left" vertical="top" wrapText="1"/>
    </xf>
    <xf numFmtId="1" fontId="2" fillId="0" borderId="1" pivotButton="0" quotePrefix="0" xfId="0"/>
    <xf numFmtId="10" fontId="2" fillId="4" borderId="1" pivotButton="0" quotePrefix="0" xfId="0"/>
    <xf numFmtId="10" fontId="2" fillId="0" borderId="1" pivotButton="0" quotePrefix="0" xfId="0"/>
    <xf numFmtId="164" fontId="2" fillId="0" borderId="1" pivotButton="0" quotePrefix="0" xfId="0"/>
    <xf numFmtId="164" fontId="2" fillId="4" borderId="1" pivotButton="0" quotePrefix="0" xfId="0"/>
    <xf numFmtId="10" fontId="2" fillId="5" borderId="1" pivotButton="0" quotePrefix="0" xfId="0"/>
    <xf numFmtId="0" fontId="4" fillId="0" borderId="0" pivotButton="0" quotePrefix="0" xfId="0"/>
    <xf numFmtId="0" fontId="2" fillId="0" borderId="1" pivotButton="0" quotePrefix="0" xfId="0"/>
    <xf numFmtId="0" fontId="3" fillId="5" borderId="1" pivotButton="0" quotePrefix="0" xfId="0"/>
    <xf numFmtId="164" fontId="3" fillId="5" borderId="1" pivotButton="0" quotePrefix="0" xfId="0"/>
    <xf numFmtId="10" fontId="3" fillId="5" borderId="1" pivotButton="0" quotePrefix="0" xfId="0"/>
    <xf numFmtId="0" fontId="3" fillId="0" borderId="1" pivotButton="0" quotePrefix="0" xfId="0"/>
    <xf numFmtId="49" fontId="3" fillId="4" borderId="1" pivotButton="0" quotePrefix="0" xfId="0"/>
    <xf numFmtId="1" fontId="3" fillId="4" borderId="1" pivotButton="0" quotePrefix="0" xfId="0"/>
    <xf numFmtId="10" fontId="3" fillId="4" borderId="1" pivotButton="0" quotePrefix="0" xfId="0"/>
    <xf numFmtId="1" fontId="2" fillId="0" borderId="2" pivotButton="0" quotePrefix="0" xfId="0"/>
    <xf numFmtId="0" fontId="2" fillId="0" borderId="2" pivotButton="0" quotePrefix="0" xfId="0"/>
    <xf numFmtId="164" fontId="2" fillId="0" borderId="2" pivotButton="0" quotePrefix="0" xfId="0"/>
    <xf numFmtId="0" fontId="2" fillId="0" borderId="2" applyAlignment="1" pivotButton="0" quotePrefix="0" xfId="0">
      <alignment horizontal="left" vertical="center" wrapText="1"/>
    </xf>
    <xf numFmtId="164" fontId="3" fillId="5" borderId="2" pivotButton="0" quotePrefix="0" xfId="0"/>
    <xf numFmtId="164" fontId="2" fillId="4" borderId="2" pivotButton="0" quotePrefix="0" xfId="0"/>
    <xf numFmtId="0" fontId="2" fillId="0" borderId="1" applyAlignment="1" pivotButton="0" quotePrefix="0" xfId="0">
      <alignment horizontal="left" vertical="center" wrapText="1"/>
    </xf>
    <xf numFmtId="165" fontId="2" fillId="0" borderId="1" pivotButton="0" quotePrefix="0" xfId="0"/>
    <xf numFmtId="0" fontId="5" fillId="0" borderId="1" applyAlignment="1" pivotButton="0" quotePrefix="0" xfId="0">
      <alignment horizontal="left" vertical="top" wrapText="1"/>
    </xf>
  </cellXfs>
  <cellStyles count="1">
    <cellStyle name="Normal" xfId="0" builtinId="0" hidden="0"/>
  </cellStyles>
  <dxfs count="3">
    <dxf>
      <font>
        <name val="Segoe UI"/>
        <b val="1"/>
        <color rgb="00375623"/>
        <sz val="10"/>
      </font>
      <fill>
        <patternFill patternType="solid">
          <fgColor rgb="00E2EFDA"/>
          <bgColor rgb="00E2EFDA"/>
        </patternFill>
      </fill>
    </dxf>
    <dxf>
      <font>
        <name val="Segoe UI"/>
        <b val="1"/>
        <color rgb="007F6000"/>
        <sz val="10"/>
      </font>
      <fill>
        <patternFill patternType="solid">
          <fgColor rgb="00FFF2CC"/>
          <bgColor rgb="00FFF2CC"/>
        </patternFill>
      </fill>
    </dxf>
    <dxf>
      <font>
        <name val="Segoe UI"/>
        <b val="1"/>
        <color rgb="00C00000"/>
        <sz val="10"/>
      </font>
      <fill>
        <patternFill patternType="solid">
          <fgColor rgb="00FCE4E4"/>
          <bgColor rgb="00FCE4E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showGridLines="1" workbookViewId="0">
      <pane ySplit="1" topLeftCell="A2" activePane="bottomLeft" state="frozen"/>
      <selection pane="bottomLeft" activeCell="A1" sqref="A1"/>
    </sheetView>
  </sheetViews>
  <sheetFormatPr baseColWidth="8" defaultRowHeight="15"/>
  <cols>
    <col width="22" customWidth="1" min="1" max="1"/>
    <col width="90" customWidth="1" min="2" max="2"/>
  </cols>
  <sheetData>
    <row r="1" ht="24" customHeight="1">
      <c r="A1" s="1" t="inlineStr">
        <is>
          <t>HOUSEHOLD PORTFOLIO ENGINE — SCENARIO DEMO</t>
        </is>
      </c>
      <c r="B1" s="1" t="n"/>
    </row>
    <row r="3" ht="20" customHeight="1">
      <c r="A3" s="2" t="inlineStr">
        <is>
          <t>WHAT THIS WORKBOOK IS</t>
        </is>
      </c>
      <c r="B3" s="2" t="n"/>
    </row>
    <row r="4" ht="113" customHeight="1">
      <c r="B4" s="3" t="inlineStr">
        <is>
          <t>This is a demonstration copy of the Household Portfolio Engine -- a two-bucket, decumulation-phase retirement income strategy built to protect a household from Sequence-of-Returns Risk (SRR). It uses entirely generic example balances and three hardcoded, hypothetical market-return paths (Bear / Bull / Choppy) so you can watch the engine's core mechanic -- the Quarterly Refill Engine's GOOD/POOR trigger -- actually fire in both directions, instead of having to imagine it.</t>
        </is>
      </c>
    </row>
    <row r="5" ht="98" customHeight="1">
      <c r="B5" s="3" t="inlineStr">
        <is>
          <t>The live version of this workbook is a hand-maintained tracker: real account balances and monthly payments get typed in and the sheet only ever compares today's actual wealth to a target. It never simulates a market move on its own. This demo workbook adds that missing piece -- a simulated household wealth path that evolves year by year under whichever scenario you select -- purely to illustrate how the mechanism behaves under different market conditions.</t>
        </is>
      </c>
    </row>
    <row r="7" ht="20" customHeight="1">
      <c r="A7" s="2" t="inlineStr">
        <is>
          <t>HOW TO USE THE SCENARIO SELECTOR</t>
        </is>
      </c>
      <c r="B7" s="2" t="n"/>
    </row>
    <row r="8" ht="128" customHeight="1">
      <c r="B8" s="3" t="inlineStr">
        <is>
          <t>On The_Refill_Engine tab, the top-left cell lets you choose Bear, Bull, or Choppy from a dropdown. Bear applies a front-loaded market crash in years 1-2 followed by a recovery -- watch the Quarterly Refill Engine freeze transfers and the G Fund shield draw down on its own. Bull applies steady, consistently strong growth -- the engine should recommend a transfer almost every quarter. Choppy applies small, oscillating returns near the hurdle rate -- GOOD and POOR should alternate unpredictably, which is the case the Safety Anchor is really built for.</t>
        </is>
      </c>
    </row>
    <row r="9" ht="68" customHeight="1">
      <c r="B9" s="3" t="inlineStr">
        <is>
          <t>Every other input (account balances, COLA, monthly payments) is pre-filled with round, generic numbers so the workbook is fully self-contained -- nothing needs to be typed in to see it work. Feel free to change any pale-yellow cell to explore "what if" variations.</t>
        </is>
      </c>
    </row>
    <row r="11" ht="20" customHeight="1">
      <c r="A11" s="2" t="inlineStr">
        <is>
          <t>DISCLAIMER</t>
        </is>
      </c>
      <c r="B11" s="2" t="n"/>
    </row>
    <row r="12" ht="83" customHeight="1">
      <c r="B12" s="3" t="inlineStr">
        <is>
          <t>All balances, payments, and the Bear/Bull/Choppy return paths in this workbook are hypothetical and for illustration only. They are not historical market data, a forecast, or investment, tax, or legal advice. Use this workbook to understand the mechanics of the strategy, then work from your own real numbers in the live tracker.</t>
        </is>
      </c>
    </row>
    <row r="14" ht="20" customHeight="1">
      <c r="A14" s="2" t="inlineStr">
        <is>
          <t>HOW THE FOUR TABS WORK TOGETHER</t>
        </is>
      </c>
      <c r="B14" s="2" t="n"/>
    </row>
    <row r="15" ht="53" customHeight="1">
      <c r="B15" s="3" t="inlineStr">
        <is>
          <t>Documentation (this tab) -- What this demo shows, how to use the scenario selector, the disclaimer above, the color legend, and a glossary. Nothing here feeds any formula.</t>
        </is>
      </c>
    </row>
    <row r="16" ht="53" customHeight="1">
      <c r="B16" s="3" t="inlineStr">
        <is>
          <t>Variables_And_Log -- The annual COLA/hurdle inputs, the monthly TSP -&gt; checking payment log, and the three hardcoded Bear/Bull/Choppy annual return columns, plus a column that picks out whichever scenario is currently selected.</t>
        </is>
      </c>
    </row>
    <row r="17" ht="68" customHeight="1">
      <c r="B17" s="3" t="inlineStr">
        <is>
          <t>Account_Tracker -- Generic starting balances for every account as of the beginning of Year 1. Unlike the live tracker, this is not an ongoing snapshot -- it's the starting point that The_Refill_Engine projects forward under the selected scenario.</t>
        </is>
      </c>
    </row>
    <row r="18" ht="83" customHeight="1">
      <c r="B18" s="3" t="inlineStr">
        <is>
          <t>The_Refill_Engine -- The decision-making tab, plus the scenario selector. The Quarterly Refill Engine table is the headline output. The Annual SRR Hurdle Model below it now also simulates actual household wealth forward year by year under the selected scenario and compares it to the hurdle target, which is what drives GOOD vs. POOR here.</t>
        </is>
      </c>
    </row>
    <row r="20" ht="20" customHeight="1">
      <c r="A20" s="2" t="inlineStr">
        <is>
          <t>COLOR LEGEND</t>
        </is>
      </c>
      <c r="B20" s="2" t="n"/>
    </row>
    <row r="21" ht="38" customHeight="1">
      <c r="A21" s="4" t="n"/>
      <c r="B21" s="3" t="inlineStr">
        <is>
          <t>Pale yellow -- an editable input, pre-filled with an illustrative example value.</t>
        </is>
      </c>
    </row>
    <row r="22" ht="38" customHeight="1">
      <c r="A22" s="5" t="n"/>
      <c r="B22" s="3" t="inlineStr">
        <is>
          <t>White (no fill) -- a formula, or a fixed scenario assumption; please leave it alone.</t>
        </is>
      </c>
    </row>
    <row r="23" ht="23" customHeight="1">
      <c r="A23" s="6" t="n"/>
      <c r="B23" s="3" t="inlineStr">
        <is>
          <t>Ice blue -- a computed summary or headline total.</t>
        </is>
      </c>
    </row>
    <row r="24" ht="23" customHeight="1">
      <c r="A24" s="7" t="n"/>
      <c r="B24" s="3" t="inlineStr">
        <is>
          <t>Green (Emergency Liquidity Protocol only) -- the TSP G Fund shield is active.</t>
        </is>
      </c>
    </row>
    <row r="25" ht="38" customHeight="1">
      <c r="A25" s="8" t="n"/>
      <c r="B25" s="3" t="inlineStr">
        <is>
          <t>Yellow (Emergency Liquidity Protocol only) -- the G Fund is exhausted; drawing from the cash buffer.</t>
        </is>
      </c>
    </row>
    <row r="26" ht="38" customHeight="1">
      <c r="A26" s="9" t="n"/>
      <c r="B26" s="3" t="inlineStr">
        <is>
          <t>Red (Emergency Liquidity Protocol only) -- both cash shields are exhausted; the household is in an emergency-liquidation stage.</t>
        </is>
      </c>
    </row>
    <row r="28" ht="20" customHeight="1">
      <c r="A28" s="2" t="inlineStr">
        <is>
          <t>GLOSSARY</t>
        </is>
      </c>
      <c r="B28" s="2" t="n"/>
    </row>
    <row r="29">
      <c r="A29" s="10" t="inlineStr">
        <is>
          <t>Term</t>
        </is>
      </c>
      <c r="B29" s="10" t="inlineStr">
        <is>
          <t>Definition</t>
        </is>
      </c>
    </row>
    <row r="30" ht="38" customHeight="1">
      <c r="A30" s="11" t="inlineStr">
        <is>
          <t>COLA</t>
        </is>
      </c>
      <c r="B30" s="12" t="inlineStr">
        <is>
          <t>The federal Cost-of-Living Adjustment, applied annually to Social Security/federal retirement benefits.</t>
        </is>
      </c>
    </row>
    <row r="31" ht="38" customHeight="1">
      <c r="A31" s="11" t="inlineStr">
        <is>
          <t>Hurdle Rate</t>
        </is>
      </c>
      <c r="B31" s="12" t="inlineStr">
        <is>
          <t>The minimum real (inflation-adjusted) growth rate the portfolio needs to clear to be considered "on track" -- COLA layered on a fixed real-growth baseline.</t>
        </is>
      </c>
    </row>
    <row r="32" ht="23" customHeight="1">
      <c r="A32" s="11" t="inlineStr">
        <is>
          <t>W_t / W_q</t>
        </is>
      </c>
      <c r="B32" s="12" t="inlineStr">
        <is>
          <t>Total dollar outflows (withdrawals) for a given year (t) or quarter (q).</t>
        </is>
      </c>
    </row>
    <row r="33" ht="38" customHeight="1">
      <c r="A33" s="11" t="inlineStr">
        <is>
          <t>P_track</t>
        </is>
      </c>
      <c r="B33" s="12" t="inlineStr">
        <is>
          <t>The simulated target portfolio value (the hurdle trajectory) that simulated actual wealth is measured against each year.</t>
        </is>
      </c>
    </row>
    <row r="34" ht="38" customHeight="1">
      <c r="A34" s="11" t="inlineStr">
        <is>
          <t>Scenario</t>
        </is>
      </c>
      <c r="B34" s="12" t="inlineStr">
        <is>
          <t>One of three hardcoded, hypothetical annual market-return paths -- Bear, Bull, or Choppy -- selected on The_Refill_Engine tab.</t>
        </is>
      </c>
    </row>
    <row r="35" ht="53" customHeight="1">
      <c r="A35" s="11" t="inlineStr">
        <is>
          <t>Simulated Actual Household Wealth</t>
        </is>
      </c>
      <c r="B35" s="12" t="inlineStr">
        <is>
          <t>This demo's stand-in for real net worth: last year's simulated wealth, grown by the selected scenario's return for the year, less that year's outflows. Compared against P_track to decide GOOD vs. POOR.</t>
        </is>
      </c>
    </row>
    <row r="36" ht="38" customHeight="1">
      <c r="A36" s="11" t="inlineStr">
        <is>
          <t>SRR</t>
        </is>
      </c>
      <c r="B36" s="12" t="inlineStr">
        <is>
          <t>Sequence-of-Returns Risk -- the risk that a downturn early in retirement forces permanent sale of depreciated assets.</t>
        </is>
      </c>
    </row>
    <row r="37" ht="38" customHeight="1">
      <c r="A37" s="11" t="inlineStr">
        <is>
          <t>TSP G Fund</t>
        </is>
      </c>
      <c r="B37" s="12" t="inlineStr">
        <is>
          <t>The federal Thrift Savings Plan's government-securities fund: principal-protected, instantly liquid, and the household's operating cash vault.</t>
        </is>
      </c>
    </row>
    <row r="38" ht="68" customHeight="1">
      <c r="A38" s="11" t="inlineStr">
        <is>
          <t>Safety Anchor</t>
        </is>
      </c>
      <c r="B38" s="12" t="inlineStr">
        <is>
          <t>The G Fund cash buffer this engine tries to maintain. Set as a step function (on The_Refill_Engine): a higher percentage through the SRR "red zone" -- the first several years of retirement -- then a lower one afterward, applied each year to that year's P_track rather than a frozen snapshot.</t>
        </is>
      </c>
    </row>
    <row r="39" ht="53" customHeight="1">
      <c r="A39" s="11" t="inlineStr">
        <is>
          <t>Red Zone</t>
        </is>
      </c>
      <c r="B39" s="12" t="inlineStr">
        <is>
          <t>The first several years of retirement, when a bad sequence of market returns does the most lasting damage to a portfolio. The Safety Anchor holds a higher percentage during this window.</t>
        </is>
      </c>
    </row>
    <row r="40" ht="38" customHeight="1">
      <c r="A40" s="11" t="inlineStr">
        <is>
          <t>Conduit</t>
        </is>
      </c>
      <c r="B40" s="12" t="inlineStr">
        <is>
          <t>A Traditional IRA used as a pass-through for pre-tax rollovers back into the TSP.</t>
        </is>
      </c>
    </row>
    <row r="41" ht="23" customHeight="1">
      <c r="A41" s="11" t="inlineStr">
        <is>
          <t>Allocation Mix</t>
        </is>
      </c>
      <c r="B41" s="12" t="inlineStr">
        <is>
          <t>Each account's share of total household net worth, shown on Account_Tracker.</t>
        </is>
      </c>
    </row>
  </sheetData>
  <mergeCells count="7">
    <mergeCell ref="A20:B20"/>
    <mergeCell ref="A7:B7"/>
    <mergeCell ref="A11:B11"/>
    <mergeCell ref="A28:B28"/>
    <mergeCell ref="A14:B14"/>
    <mergeCell ref="A1:B1"/>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5"/>
  <sheetViews>
    <sheetView showGridLines="1" workbookViewId="0">
      <pane ySplit="2" topLeftCell="A3" activePane="bottomLeft" state="frozen"/>
      <selection pane="bottomLeft" activeCell="A1" sqref="A1"/>
    </sheetView>
  </sheetViews>
  <sheetFormatPr baseColWidth="8" defaultRowHeight="15"/>
  <cols>
    <col width="14" customWidth="1" min="1" max="1"/>
    <col width="28" customWidth="1" min="2" max="2"/>
    <col width="31" customWidth="1" min="3" max="3"/>
    <col width="27" customWidth="1" min="4" max="4"/>
    <col width="30"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6" customWidth="1" min="18" max="18"/>
    <col width="16" customWidth="1" min="19" max="19"/>
    <col width="16" customWidth="1" min="20" max="20"/>
    <col width="16" customWidth="1" min="21" max="21"/>
  </cols>
  <sheetData>
    <row r="1" ht="20" customHeight="1">
      <c r="A1" s="2" t="inlineStr">
        <is>
          <t>HOUSEHOLD VARIABLE LOG — ANNUAL HURDLE INPUTS, MARKET SCENARIOS &amp; MONTHLY TSP → CHECKING PAYMENT LOG (2026-2035)</t>
        </is>
      </c>
      <c r="B1" s="2" t="n"/>
      <c r="C1" s="2" t="n"/>
      <c r="D1" s="2" t="n"/>
      <c r="E1" s="2" t="n"/>
      <c r="F1" s="2" t="n"/>
      <c r="G1" s="2" t="n"/>
      <c r="H1" s="2" t="n"/>
      <c r="I1" s="2" t="n"/>
      <c r="J1" s="2" t="n"/>
      <c r="K1" s="2" t="n"/>
      <c r="L1" s="2" t="n"/>
      <c r="M1" s="2" t="n"/>
      <c r="N1" s="2" t="n"/>
      <c r="O1" s="2" t="n"/>
      <c r="P1" s="2" t="n"/>
      <c r="Q1" s="2" t="n"/>
      <c r="R1" s="2" t="n"/>
      <c r="S1" s="2" t="n"/>
      <c r="T1" s="2" t="n"/>
      <c r="U1" s="2" t="n"/>
      <c r="V1" s="2" t="n"/>
    </row>
    <row r="2" ht="32" customHeight="1">
      <c r="A2" s="10" t="inlineStr">
        <is>
          <t>Date / Year</t>
        </is>
      </c>
      <c r="B2" s="10" t="inlineStr">
        <is>
          <t>Actual Federal COLA (C_i)</t>
        </is>
      </c>
      <c r="C2" s="10" t="inlineStr">
        <is>
          <t>Rule of Four Hurdle Baseline</t>
        </is>
      </c>
      <c r="D2" s="10" t="inlineStr">
        <is>
          <t>Total Annual Hurdle Rate</t>
        </is>
      </c>
      <c r="E2" s="10" t="inlineStr">
        <is>
          <t>Total Annual Outflows (W_t)</t>
        </is>
      </c>
      <c r="F2" s="10" t="inlineStr">
        <is>
          <t>Jan</t>
        </is>
      </c>
      <c r="G2" s="10" t="inlineStr">
        <is>
          <t>Feb</t>
        </is>
      </c>
      <c r="H2" s="10" t="inlineStr">
        <is>
          <t>Mar</t>
        </is>
      </c>
      <c r="I2" s="10" t="inlineStr">
        <is>
          <t>Apr</t>
        </is>
      </c>
      <c r="J2" s="10" t="inlineStr">
        <is>
          <t>May</t>
        </is>
      </c>
      <c r="K2" s="10" t="inlineStr">
        <is>
          <t>Jun</t>
        </is>
      </c>
      <c r="L2" s="10" t="inlineStr">
        <is>
          <t>Jul</t>
        </is>
      </c>
      <c r="M2" s="10" t="inlineStr">
        <is>
          <t>Aug</t>
        </is>
      </c>
      <c r="N2" s="10" t="inlineStr">
        <is>
          <t>Sep</t>
        </is>
      </c>
      <c r="O2" s="10" t="inlineStr">
        <is>
          <t>Oct</t>
        </is>
      </c>
      <c r="P2" s="10" t="inlineStr">
        <is>
          <t>Nov</t>
        </is>
      </c>
      <c r="Q2" s="10" t="inlineStr">
        <is>
          <t>Dec</t>
        </is>
      </c>
      <c r="R2" s="10" t="inlineStr">
        <is>
          <t>Bear Scenario Annual Return (Illustrative)</t>
        </is>
      </c>
      <c r="S2" s="10" t="inlineStr">
        <is>
          <t>Bull Scenario Annual Return (Illustrative)</t>
        </is>
      </c>
      <c r="T2" s="10" t="inlineStr">
        <is>
          <t>Choppy Scenario Annual Return (Illustrative)</t>
        </is>
      </c>
      <c r="U2" s="10" t="inlineStr">
        <is>
          <t>Selected Scenario Annual Return (This Year)</t>
        </is>
      </c>
    </row>
    <row r="3">
      <c r="A3" s="13" t="n">
        <v>2026</v>
      </c>
      <c r="B3" s="14" t="n">
        <v>0.026</v>
      </c>
      <c r="C3" s="15" t="n">
        <v>0.02</v>
      </c>
      <c r="D3" s="15">
        <f>(1+B3)*(1+C3)</f>
        <v/>
      </c>
      <c r="E3" s="16">
        <f>SUM(F3:Q3)</f>
        <v/>
      </c>
      <c r="F3" s="17" t="n">
        <v>4000</v>
      </c>
      <c r="G3" s="17" t="n">
        <v>4000</v>
      </c>
      <c r="H3" s="17" t="n">
        <v>4000</v>
      </c>
      <c r="I3" s="17" t="n">
        <v>4000</v>
      </c>
      <c r="J3" s="17" t="n">
        <v>4000</v>
      </c>
      <c r="K3" s="17" t="n">
        <v>4000</v>
      </c>
      <c r="L3" s="17" t="n">
        <v>4000</v>
      </c>
      <c r="M3" s="17" t="n">
        <v>4000</v>
      </c>
      <c r="N3" s="17" t="n">
        <v>4000</v>
      </c>
      <c r="O3" s="17" t="n">
        <v>4000</v>
      </c>
      <c r="P3" s="17" t="n">
        <v>4000</v>
      </c>
      <c r="Q3" s="17" t="n">
        <v>4000</v>
      </c>
      <c r="R3" s="15" t="n">
        <v>-0.35</v>
      </c>
      <c r="S3" s="15" t="n">
        <v>0.1</v>
      </c>
      <c r="T3" s="15" t="n">
        <v>0.09</v>
      </c>
      <c r="U3" s="18">
        <f>IF('The_Refill_Engine'!$B$1="Bear",R3,IF('The_Refill_Engine'!$B$1="Bull",S3,T3))</f>
        <v/>
      </c>
    </row>
    <row r="4">
      <c r="A4" s="13" t="n">
        <v>2027</v>
      </c>
      <c r="B4" s="14" t="n">
        <v>0.025</v>
      </c>
      <c r="C4" s="15" t="n">
        <v>0.02</v>
      </c>
      <c r="D4" s="15">
        <f>(1+B4)*(1+C4)</f>
        <v/>
      </c>
      <c r="E4" s="16">
        <f>SUM(F4:Q4)</f>
        <v/>
      </c>
      <c r="F4" s="17" t="n">
        <v>4100</v>
      </c>
      <c r="G4" s="17" t="n">
        <v>4100</v>
      </c>
      <c r="H4" s="17" t="n">
        <v>4100</v>
      </c>
      <c r="I4" s="17" t="n">
        <v>4100</v>
      </c>
      <c r="J4" s="17" t="n">
        <v>4100</v>
      </c>
      <c r="K4" s="17" t="n">
        <v>4100</v>
      </c>
      <c r="L4" s="17" t="n">
        <v>4100</v>
      </c>
      <c r="M4" s="17" t="n">
        <v>4100</v>
      </c>
      <c r="N4" s="17" t="n">
        <v>4100</v>
      </c>
      <c r="O4" s="17" t="n">
        <v>4100</v>
      </c>
      <c r="P4" s="17" t="n">
        <v>4100</v>
      </c>
      <c r="Q4" s="17" t="n">
        <v>4100</v>
      </c>
      <c r="R4" s="15" t="n">
        <v>-0.08</v>
      </c>
      <c r="S4" s="15" t="n">
        <v>0.11</v>
      </c>
      <c r="T4" s="15" t="n">
        <v>-0.01</v>
      </c>
      <c r="U4" s="18">
        <f>IF('The_Refill_Engine'!$B$1="Bear",R4,IF('The_Refill_Engine'!$B$1="Bull",S4,T4))</f>
        <v/>
      </c>
    </row>
    <row r="5">
      <c r="A5" s="13" t="n">
        <v>2028</v>
      </c>
      <c r="B5" s="14" t="n">
        <v>0.024</v>
      </c>
      <c r="C5" s="15" t="n">
        <v>0.02</v>
      </c>
      <c r="D5" s="15">
        <f>(1+B5)*(1+C5)</f>
        <v/>
      </c>
      <c r="E5" s="16">
        <f>SUM(F5:Q5)</f>
        <v/>
      </c>
      <c r="F5" s="17" t="n">
        <v>4200</v>
      </c>
      <c r="G5" s="17" t="n">
        <v>4200</v>
      </c>
      <c r="H5" s="17" t="n">
        <v>4200</v>
      </c>
      <c r="I5" s="17" t="n">
        <v>4200</v>
      </c>
      <c r="J5" s="17" t="n">
        <v>4200</v>
      </c>
      <c r="K5" s="17" t="n">
        <v>4200</v>
      </c>
      <c r="L5" s="17" t="n">
        <v>4200</v>
      </c>
      <c r="M5" s="17" t="n">
        <v>4200</v>
      </c>
      <c r="N5" s="17" t="n">
        <v>4200</v>
      </c>
      <c r="O5" s="17" t="n">
        <v>4200</v>
      </c>
      <c r="P5" s="17" t="n">
        <v>4200</v>
      </c>
      <c r="Q5" s="17" t="n">
        <v>4200</v>
      </c>
      <c r="R5" s="15" t="n">
        <v>0.06</v>
      </c>
      <c r="S5" s="15" t="n">
        <v>0.09</v>
      </c>
      <c r="T5" s="15" t="n">
        <v>0.09</v>
      </c>
      <c r="U5" s="18">
        <f>IF('The_Refill_Engine'!$B$1="Bear",R5,IF('The_Refill_Engine'!$B$1="Bull",S5,T5))</f>
        <v/>
      </c>
    </row>
    <row r="6">
      <c r="A6" s="13" t="n">
        <v>2029</v>
      </c>
      <c r="B6" s="14" t="n">
        <v>0.025</v>
      </c>
      <c r="C6" s="15" t="n">
        <v>0.02</v>
      </c>
      <c r="D6" s="15">
        <f>(1+B6)*(1+C6)</f>
        <v/>
      </c>
      <c r="E6" s="16">
        <f>SUM(F6:Q6)</f>
        <v/>
      </c>
      <c r="F6" s="17" t="n">
        <v>4300</v>
      </c>
      <c r="G6" s="17" t="n">
        <v>4300</v>
      </c>
      <c r="H6" s="17" t="n">
        <v>4300</v>
      </c>
      <c r="I6" s="17" t="n">
        <v>4300</v>
      </c>
      <c r="J6" s="17" t="n">
        <v>4300</v>
      </c>
      <c r="K6" s="17" t="n">
        <v>4300</v>
      </c>
      <c r="L6" s="17" t="n">
        <v>4300</v>
      </c>
      <c r="M6" s="17" t="n">
        <v>4300</v>
      </c>
      <c r="N6" s="17" t="n">
        <v>4300</v>
      </c>
      <c r="O6" s="17" t="n">
        <v>4300</v>
      </c>
      <c r="P6" s="17" t="n">
        <v>4300</v>
      </c>
      <c r="Q6" s="17" t="n">
        <v>4300</v>
      </c>
      <c r="R6" s="15" t="n">
        <v>0.09</v>
      </c>
      <c r="S6" s="15" t="n">
        <v>0.12</v>
      </c>
      <c r="T6" s="15" t="n">
        <v>-0.01</v>
      </c>
      <c r="U6" s="18">
        <f>IF('The_Refill_Engine'!$B$1="Bear",R6,IF('The_Refill_Engine'!$B$1="Bull",S6,T6))</f>
        <v/>
      </c>
    </row>
    <row r="7">
      <c r="A7" s="13" t="n">
        <v>2030</v>
      </c>
      <c r="B7" s="14" t="n">
        <v>0.026</v>
      </c>
      <c r="C7" s="15" t="n">
        <v>0.02</v>
      </c>
      <c r="D7" s="15">
        <f>(1+B7)*(1+C7)</f>
        <v/>
      </c>
      <c r="E7" s="16">
        <f>SUM(F7:Q7)</f>
        <v/>
      </c>
      <c r="F7" s="17" t="n">
        <v>4400</v>
      </c>
      <c r="G7" s="17" t="n">
        <v>4400</v>
      </c>
      <c r="H7" s="17" t="n">
        <v>4400</v>
      </c>
      <c r="I7" s="17" t="n">
        <v>4400</v>
      </c>
      <c r="J7" s="17" t="n">
        <v>4400</v>
      </c>
      <c r="K7" s="17" t="n">
        <v>4400</v>
      </c>
      <c r="L7" s="17" t="n">
        <v>4400</v>
      </c>
      <c r="M7" s="17" t="n">
        <v>4400</v>
      </c>
      <c r="N7" s="17" t="n">
        <v>4400</v>
      </c>
      <c r="O7" s="17" t="n">
        <v>4400</v>
      </c>
      <c r="P7" s="17" t="n">
        <v>4400</v>
      </c>
      <c r="Q7" s="17" t="n">
        <v>4400</v>
      </c>
      <c r="R7" s="15" t="n">
        <v>0.07000000000000001</v>
      </c>
      <c r="S7" s="15" t="n">
        <v>0.1</v>
      </c>
      <c r="T7" s="15" t="n">
        <v>0.09</v>
      </c>
      <c r="U7" s="18">
        <f>IF('The_Refill_Engine'!$B$1="Bear",R7,IF('The_Refill_Engine'!$B$1="Bull",S7,T7))</f>
        <v/>
      </c>
    </row>
    <row r="8">
      <c r="A8" s="13" t="n">
        <v>2031</v>
      </c>
      <c r="B8" s="14" t="n">
        <v>0.025</v>
      </c>
      <c r="C8" s="15" t="n">
        <v>0.02</v>
      </c>
      <c r="D8" s="15">
        <f>(1+B8)*(1+C8)</f>
        <v/>
      </c>
      <c r="E8" s="16">
        <f>SUM(F8:Q8)</f>
        <v/>
      </c>
      <c r="F8" s="17" t="n">
        <v>4500</v>
      </c>
      <c r="G8" s="17" t="n">
        <v>4500</v>
      </c>
      <c r="H8" s="17" t="n">
        <v>4500</v>
      </c>
      <c r="I8" s="17" t="n">
        <v>4500</v>
      </c>
      <c r="J8" s="17" t="n">
        <v>4500</v>
      </c>
      <c r="K8" s="17" t="n">
        <v>4500</v>
      </c>
      <c r="L8" s="17" t="n">
        <v>4500</v>
      </c>
      <c r="M8" s="17" t="n">
        <v>4500</v>
      </c>
      <c r="N8" s="17" t="n">
        <v>4500</v>
      </c>
      <c r="O8" s="17" t="n">
        <v>4500</v>
      </c>
      <c r="P8" s="17" t="n">
        <v>4500</v>
      </c>
      <c r="Q8" s="17" t="n">
        <v>4500</v>
      </c>
      <c r="R8" s="15" t="n">
        <v>0.07000000000000001</v>
      </c>
      <c r="S8" s="15" t="n">
        <v>0.08</v>
      </c>
      <c r="T8" s="15" t="n">
        <v>-0.01</v>
      </c>
      <c r="U8" s="18">
        <f>IF('The_Refill_Engine'!$B$1="Bear",R8,IF('The_Refill_Engine'!$B$1="Bull",S8,T8))</f>
        <v/>
      </c>
    </row>
    <row r="9">
      <c r="A9" s="13" t="n">
        <v>2032</v>
      </c>
      <c r="B9" s="14" t="n">
        <v>0.024</v>
      </c>
      <c r="C9" s="15" t="n">
        <v>0.02</v>
      </c>
      <c r="D9" s="15">
        <f>(1+B9)*(1+C9)</f>
        <v/>
      </c>
      <c r="E9" s="16">
        <f>SUM(F9:Q9)</f>
        <v/>
      </c>
      <c r="F9" s="17" t="n">
        <v>4600</v>
      </c>
      <c r="G9" s="17" t="n">
        <v>4600</v>
      </c>
      <c r="H9" s="17" t="n">
        <v>4600</v>
      </c>
      <c r="I9" s="17" t="n">
        <v>4600</v>
      </c>
      <c r="J9" s="17" t="n">
        <v>4600</v>
      </c>
      <c r="K9" s="17" t="n">
        <v>4600</v>
      </c>
      <c r="L9" s="17" t="n">
        <v>4600</v>
      </c>
      <c r="M9" s="17" t="n">
        <v>4600</v>
      </c>
      <c r="N9" s="17" t="n">
        <v>4600</v>
      </c>
      <c r="O9" s="17" t="n">
        <v>4600</v>
      </c>
      <c r="P9" s="17" t="n">
        <v>4600</v>
      </c>
      <c r="Q9" s="17" t="n">
        <v>4600</v>
      </c>
      <c r="R9" s="15" t="n">
        <v>0.07000000000000001</v>
      </c>
      <c r="S9" s="15" t="n">
        <v>0.11</v>
      </c>
      <c r="T9" s="15" t="n">
        <v>0.09</v>
      </c>
      <c r="U9" s="18">
        <f>IF('The_Refill_Engine'!$B$1="Bear",R9,IF('The_Refill_Engine'!$B$1="Bull",S9,T9))</f>
        <v/>
      </c>
    </row>
    <row r="10">
      <c r="A10" s="13" t="n">
        <v>2033</v>
      </c>
      <c r="B10" s="14" t="n">
        <v>0.025</v>
      </c>
      <c r="C10" s="15" t="n">
        <v>0.02</v>
      </c>
      <c r="D10" s="15">
        <f>(1+B10)*(1+C10)</f>
        <v/>
      </c>
      <c r="E10" s="16">
        <f>SUM(F10:Q10)</f>
        <v/>
      </c>
      <c r="F10" s="17" t="n">
        <v>4700</v>
      </c>
      <c r="G10" s="17" t="n">
        <v>4700</v>
      </c>
      <c r="H10" s="17" t="n">
        <v>4700</v>
      </c>
      <c r="I10" s="17" t="n">
        <v>4700</v>
      </c>
      <c r="J10" s="17" t="n">
        <v>4700</v>
      </c>
      <c r="K10" s="17" t="n">
        <v>4700</v>
      </c>
      <c r="L10" s="17" t="n">
        <v>4700</v>
      </c>
      <c r="M10" s="17" t="n">
        <v>4700</v>
      </c>
      <c r="N10" s="17" t="n">
        <v>4700</v>
      </c>
      <c r="O10" s="17" t="n">
        <v>4700</v>
      </c>
      <c r="P10" s="17" t="n">
        <v>4700</v>
      </c>
      <c r="Q10" s="17" t="n">
        <v>4700</v>
      </c>
      <c r="R10" s="15" t="n">
        <v>0.06</v>
      </c>
      <c r="S10" s="15" t="n">
        <v>0.09</v>
      </c>
      <c r="T10" s="15" t="n">
        <v>-0.01</v>
      </c>
      <c r="U10" s="18">
        <f>IF('The_Refill_Engine'!$B$1="Bear",R10,IF('The_Refill_Engine'!$B$1="Bull",S10,T10))</f>
        <v/>
      </c>
    </row>
    <row r="11">
      <c r="A11" s="13" t="n">
        <v>2034</v>
      </c>
      <c r="B11" s="14" t="n">
        <v>0.026</v>
      </c>
      <c r="C11" s="15" t="n">
        <v>0.02</v>
      </c>
      <c r="D11" s="15">
        <f>(1+B11)*(1+C11)</f>
        <v/>
      </c>
      <c r="E11" s="16">
        <f>SUM(F11:Q11)</f>
        <v/>
      </c>
      <c r="F11" s="17" t="n">
        <v>4800</v>
      </c>
      <c r="G11" s="17" t="n">
        <v>4800</v>
      </c>
      <c r="H11" s="17" t="n">
        <v>4800</v>
      </c>
      <c r="I11" s="17" t="n">
        <v>4800</v>
      </c>
      <c r="J11" s="17" t="n">
        <v>4800</v>
      </c>
      <c r="K11" s="17" t="n">
        <v>4800</v>
      </c>
      <c r="L11" s="17" t="n">
        <v>4800</v>
      </c>
      <c r="M11" s="17" t="n">
        <v>4800</v>
      </c>
      <c r="N11" s="17" t="n">
        <v>4800</v>
      </c>
      <c r="O11" s="17" t="n">
        <v>4800</v>
      </c>
      <c r="P11" s="17" t="n">
        <v>4800</v>
      </c>
      <c r="Q11" s="17" t="n">
        <v>4800</v>
      </c>
      <c r="R11" s="15" t="n">
        <v>0.06</v>
      </c>
      <c r="S11" s="15" t="n">
        <v>0.1</v>
      </c>
      <c r="T11" s="15" t="n">
        <v>0.09</v>
      </c>
      <c r="U11" s="18">
        <f>IF('The_Refill_Engine'!$B$1="Bear",R11,IF('The_Refill_Engine'!$B$1="Bull",S11,T11))</f>
        <v/>
      </c>
    </row>
    <row r="12">
      <c r="A12" s="13" t="n">
        <v>2035</v>
      </c>
      <c r="B12" s="14" t="n">
        <v>0.025</v>
      </c>
      <c r="C12" s="15" t="n">
        <v>0.02</v>
      </c>
      <c r="D12" s="15">
        <f>(1+B12)*(1+C12)</f>
        <v/>
      </c>
      <c r="E12" s="16">
        <f>SUM(F12:Q12)</f>
        <v/>
      </c>
      <c r="F12" s="17" t="n">
        <v>4900</v>
      </c>
      <c r="G12" s="17" t="n">
        <v>4900</v>
      </c>
      <c r="H12" s="17" t="n">
        <v>4900</v>
      </c>
      <c r="I12" s="17" t="n">
        <v>4900</v>
      </c>
      <c r="J12" s="17" t="n">
        <v>4900</v>
      </c>
      <c r="K12" s="17" t="n">
        <v>4900</v>
      </c>
      <c r="L12" s="17" t="n">
        <v>4900</v>
      </c>
      <c r="M12" s="17" t="n">
        <v>4900</v>
      </c>
      <c r="N12" s="17" t="n">
        <v>4900</v>
      </c>
      <c r="O12" s="17" t="n">
        <v>4900</v>
      </c>
      <c r="P12" s="17" t="n">
        <v>4900</v>
      </c>
      <c r="Q12" s="17" t="n">
        <v>4900</v>
      </c>
      <c r="R12" s="15" t="n">
        <v>0.06</v>
      </c>
      <c r="S12" s="15" t="n">
        <v>0.09</v>
      </c>
      <c r="T12" s="15" t="n">
        <v>-0.01</v>
      </c>
      <c r="U12" s="18">
        <f>IF('The_Refill_Engine'!$B$1="Bear",R12,IF('The_Refill_Engine'!$B$1="Bull",S12,T12))</f>
        <v/>
      </c>
    </row>
    <row r="13"/>
    <row r="14">
      <c r="A14" s="19" t="inlineStr">
        <is>
          <t>Notes: COLA, monthly payments, and the account balances on Account_Tracker are all generic illustrative numbers -- change any pale-yellow cell to explore a variation. The Bear/Bull/Choppy columns are fixed scenario definitions (hypothetical, not historical); the selector that picks among them lives on The_Refill_Engine tab.</t>
        </is>
      </c>
    </row>
    <row r="15">
      <c r="A15" s="19" t="inlineStr">
        <is>
          <t>Legend: pale-yellow cells are yours to type into (pre-filled here with illustrative example numbers); white cells hold formulas or fixed scenario assumptions -- please don't overwrite them.</t>
        </is>
      </c>
    </row>
  </sheetData>
  <mergeCells count="1">
    <mergeCell ref="A1:V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showGridLines="1" workbookViewId="0">
      <pane ySplit="1" topLeftCell="A2" activePane="bottomLeft" state="frozen"/>
      <selection pane="bottomLeft" activeCell="A1" sqref="A1"/>
    </sheetView>
  </sheetViews>
  <sheetFormatPr baseColWidth="8" defaultRowHeight="15"/>
  <cols>
    <col width="32" customWidth="1" min="1" max="1"/>
    <col width="52" customWidth="1" min="2" max="2"/>
    <col width="41" customWidth="1" min="3" max="3"/>
    <col width="17" customWidth="1" min="4" max="4"/>
  </cols>
  <sheetData>
    <row r="1" ht="24" customHeight="1">
      <c r="A1" s="10" t="inlineStr">
        <is>
          <t>Asset Pool</t>
        </is>
      </c>
      <c r="B1" s="10" t="inlineStr">
        <is>
          <t>Custodian / Platform</t>
        </is>
      </c>
      <c r="C1" s="10" t="inlineStr">
        <is>
          <t>Starting Balance (Beginning of Year 1)</t>
        </is>
      </c>
      <c r="D1" s="10" t="inlineStr">
        <is>
          <t>Allocation Mix</t>
        </is>
      </c>
    </row>
    <row r="2">
      <c r="A2" s="20" t="inlineStr">
        <is>
          <t>Your Pre-Tax Account</t>
        </is>
      </c>
      <c r="B2" s="20" t="inlineStr">
        <is>
          <t>TSP G Fund</t>
        </is>
      </c>
      <c r="C2" s="17" t="n">
        <v>100000</v>
      </c>
      <c r="D2" s="15">
        <f>C2/$C$9</f>
        <v/>
      </c>
    </row>
    <row r="3">
      <c r="A3" s="20" t="inlineStr">
        <is>
          <t>Your Conversion Conduit</t>
        </is>
      </c>
      <c r="B3" s="20" t="inlineStr">
        <is>
          <t>Private Traditional IRA</t>
        </is>
      </c>
      <c r="C3" s="17" t="n">
        <v>100000</v>
      </c>
      <c r="D3" s="15">
        <f>C3/$C$9</f>
        <v/>
      </c>
    </row>
    <row r="4">
      <c r="A4" s="20" t="inlineStr">
        <is>
          <t>Your Tax-Free Growth</t>
        </is>
      </c>
      <c r="B4" s="20" t="inlineStr">
        <is>
          <t>Private Roth IRA</t>
        </is>
      </c>
      <c r="C4" s="17" t="n">
        <v>100000</v>
      </c>
      <c r="D4" s="15">
        <f>C4/$C$9</f>
        <v/>
      </c>
    </row>
    <row r="5">
      <c r="A5" s="20" t="inlineStr">
        <is>
          <t>Spouse's Tax-Free Growth</t>
        </is>
      </c>
      <c r="B5" s="20" t="inlineStr">
        <is>
          <t>Private Roth IRA</t>
        </is>
      </c>
      <c r="C5" s="17" t="n">
        <v>100000</v>
      </c>
      <c r="D5" s="15">
        <f>C5/$C$9</f>
        <v/>
      </c>
    </row>
    <row r="6">
      <c r="A6" s="20" t="inlineStr">
        <is>
          <t>Spouse's Safe Pre-Tax Account</t>
        </is>
      </c>
      <c r="B6" s="20" t="inlineStr">
        <is>
          <t>Current Employer 403b (Active + Reverse Rollover)</t>
        </is>
      </c>
      <c r="C6" s="17" t="n">
        <v>100000</v>
      </c>
      <c r="D6" s="15">
        <f>C6/$C$9</f>
        <v/>
      </c>
    </row>
    <row r="7">
      <c r="A7" s="20" t="inlineStr">
        <is>
          <t>Spouse's Conversion Conduit</t>
        </is>
      </c>
      <c r="B7" s="20" t="inlineStr">
        <is>
          <t>Private Traditional IRA</t>
        </is>
      </c>
      <c r="C7" s="17" t="n">
        <v>100000</v>
      </c>
      <c r="D7" s="15">
        <f>C7/$C$9</f>
        <v/>
      </c>
    </row>
    <row r="8">
      <c r="A8" s="20" t="inlineStr">
        <is>
          <t>Short-Term Liquidity</t>
        </is>
      </c>
      <c r="B8" s="20" t="inlineStr">
        <is>
          <t>Merrill Edge Cash Buffer</t>
        </is>
      </c>
      <c r="C8" s="17" t="n">
        <v>100000</v>
      </c>
      <c r="D8" s="15">
        <f>C8/$C$9</f>
        <v/>
      </c>
    </row>
    <row r="9">
      <c r="A9" s="21" t="inlineStr">
        <is>
          <t>Total Household Net Worth</t>
        </is>
      </c>
      <c r="B9" s="21" t="n"/>
      <c r="C9" s="22">
        <f>SUM(C2:C8)</f>
        <v/>
      </c>
      <c r="D9" s="23">
        <f>C9/C9</f>
        <v/>
      </c>
    </row>
    <row r="10">
      <c r="A10" s="19" t="inlineStr">
        <is>
          <t>Note: unlike the live tracker, these are not an ongoing snapshot -- they're the starting point (beginning of Year 1) that The_Refill_Engine projects forward under whichever scenario is selected.</t>
        </is>
      </c>
    </row>
    <row r="11">
      <c r="A11" s="19" t="inlineStr">
        <is>
          <t>Legend: pale-yellow cells are yours to type into (pre-filled here with illustrative example numbers); white cells hold formulas or fixed scenario assumptions -- please don't overwrite them.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1"/>
  <sheetViews>
    <sheetView showGridLines="1" workbookViewId="0">
      <pane ySplit="14" topLeftCell="A15" activePane="bottomLeft" state="frozen"/>
      <selection pane="bottomLeft" activeCell="A1" sqref="A1"/>
    </sheetView>
  </sheetViews>
  <sheetFormatPr baseColWidth="8" defaultRowHeight="15"/>
  <cols>
    <col width="42" customWidth="1" min="1" max="1"/>
    <col width="14" customWidth="1" min="2" max="2"/>
    <col width="22" customWidth="1" min="3" max="3"/>
    <col width="30" customWidth="1" min="4" max="4"/>
    <col width="22" customWidth="1" min="5" max="5"/>
    <col width="30" customWidth="1" min="6" max="6"/>
    <col width="22" customWidth="1" min="7" max="7"/>
    <col width="22" customWidth="1" min="8" max="8"/>
    <col width="22" customWidth="1" min="9" max="9"/>
  </cols>
  <sheetData>
    <row r="1">
      <c r="A1" s="24" t="inlineStr">
        <is>
          <t>Scenario Selector</t>
        </is>
      </c>
      <c r="B1" s="25" t="inlineStr">
        <is>
          <t>Bear</t>
        </is>
      </c>
      <c r="C1" s="19" t="inlineStr">
        <is>
          <t>← choose Bear / Bull / Choppy to see the engine react to each hardcoded market path</t>
        </is>
      </c>
    </row>
    <row r="2"/>
    <row r="3">
      <c r="A3" s="21" t="inlineStr">
        <is>
          <t>Starting Household Wealth (Year 1 Opening)</t>
        </is>
      </c>
      <c r="B3" s="22">
        <f>'Account_Tracker'!$C$9</f>
        <v/>
      </c>
    </row>
    <row r="4">
      <c r="A4" s="24" t="inlineStr">
        <is>
          <t>Retirement Start Year</t>
        </is>
      </c>
      <c r="B4" s="26" t="n">
        <v>2026</v>
      </c>
    </row>
    <row r="5">
      <c r="A5" s="24" t="inlineStr">
        <is>
          <t>Age at Retirement Start</t>
        </is>
      </c>
      <c r="B5" s="26" t="n">
        <v>63</v>
      </c>
    </row>
    <row r="6">
      <c r="A6" s="24" t="inlineStr">
        <is>
          <t>Red Zone Length (Years)</t>
        </is>
      </c>
      <c r="B6" s="26" t="n">
        <v>10</v>
      </c>
    </row>
    <row r="7">
      <c r="A7" s="24" t="inlineStr">
        <is>
          <t>Red Zone Target % (elevated, early retirement)</t>
        </is>
      </c>
      <c r="B7" s="27" t="n">
        <v>0.35</v>
      </c>
    </row>
    <row r="8">
      <c r="A8" s="24" t="inlineStr">
        <is>
          <t>Post-Red-Zone Target % (steady state)</t>
        </is>
      </c>
      <c r="B8" s="27" t="n">
        <v>0.25</v>
      </c>
    </row>
    <row r="9">
      <c r="A9" s="21" t="inlineStr">
        <is>
          <t>Current Safety Anchor %</t>
        </is>
      </c>
      <c r="B9" s="23">
        <f>IF(YEAR(TODAY())-B4&lt;B6,B7,B8)</f>
        <v/>
      </c>
    </row>
    <row r="10">
      <c r="A10" s="21" t="inlineStr">
        <is>
          <t>Target Safety Anchor Balance (Year 1 Opening)</t>
        </is>
      </c>
      <c r="B10" s="22">
        <f>B3*B9</f>
        <v/>
      </c>
    </row>
    <row r="11">
      <c r="A11" s="19" t="inlineStr">
        <is>
          <t>Sequence-of-Returns-Risk (SRR) Shield: this engine uses a step function, not a flat percentage. SRR is concentrated in the first years of retirement (the "red zone"), when a bad sequence does the most damage; research supports holding a larger safety anchor through that window, then a smaller one afterward. Each year's actual target -- Red Zone % while Year &lt; Retirement Start Year + Red-Zone-Length, Post-Red-Zone % after -- is computed per-year in the Annual SRR Hurdle Model below and drives the Quarterly Refill Engine's 'Target Safety Anchor Balance (This Year)' column, scaled against that year's simulated wealth path, not a value frozen at Year 1. Row 10 above is only a Year-1 snapshot for quick reference. In this demo, GOOD/POOR below is driven by the Scenario Selector above, not a live account snapshot.</t>
        </is>
      </c>
    </row>
    <row r="12"/>
    <row r="13" ht="20" customHeight="1">
      <c r="A13" s="2" t="inlineStr">
        <is>
          <t>THE QUARTERLY REFILL ENGINE — PRIMARY OUTPUT: RECOMMENDED TSP TOP-UP TRANSFER</t>
        </is>
      </c>
      <c r="B13" s="2" t="n"/>
      <c r="C13" s="2" t="n"/>
      <c r="D13" s="2" t="n"/>
      <c r="E13" s="2" t="n"/>
      <c r="F13" s="2" t="n"/>
      <c r="G13" s="2" t="n"/>
      <c r="H13" s="2" t="n"/>
      <c r="I13" s="2" t="n"/>
    </row>
    <row r="14" ht="40" customHeight="1">
      <c r="A14" s="10" t="inlineStr">
        <is>
          <t>Year</t>
        </is>
      </c>
      <c r="B14" s="10" t="inlineStr">
        <is>
          <t>Quarter</t>
        </is>
      </c>
      <c r="C14" s="10" t="inlineStr">
        <is>
          <t>Quarterly Outflow (W_q)</t>
        </is>
      </c>
      <c r="D14" s="10" t="inlineStr">
        <is>
          <t>Annual Performance Signal</t>
        </is>
      </c>
      <c r="E14" s="10" t="inlineStr">
        <is>
          <t>G Fund Balance (Start of Qtr)</t>
        </is>
      </c>
      <c r="F14" s="10" t="inlineStr">
        <is>
          <t>Recommended Transfer This Quarter</t>
        </is>
      </c>
      <c r="G14" s="10" t="inlineStr">
        <is>
          <t>Actual Transferred (Log It Here)</t>
        </is>
      </c>
      <c r="H14" s="10" t="inlineStr">
        <is>
          <t>G Fund Balance (End of Qtr, Projected)</t>
        </is>
      </c>
      <c r="I14" s="10" t="inlineStr">
        <is>
          <t>Target Safety Anchor Balance (This Year)</t>
        </is>
      </c>
    </row>
    <row r="15" ht="28" customHeight="1">
      <c r="A15" s="28" t="n">
        <v>2026</v>
      </c>
      <c r="B15" s="29" t="inlineStr">
        <is>
          <t>Q1</t>
        </is>
      </c>
      <c r="C15" s="30">
        <f>SUM('Variables_And_Log'!F3:H3)</f>
        <v/>
      </c>
      <c r="D15" s="31">
        <f>G59</f>
        <v/>
      </c>
      <c r="E15" s="30">
        <f>'Account_Tracker'!$C$2</f>
        <v/>
      </c>
      <c r="F15" s="32">
        <f>IF(ISNUMBER(SEARCH("GOOD",D15)),MAX(0,I15-E15),0)</f>
        <v/>
      </c>
      <c r="G15" s="33" t="n"/>
      <c r="H15" s="30">
        <f>MAX(0,E15-C15+IF(G15="",F15,G15))</f>
        <v/>
      </c>
      <c r="I15" s="30">
        <f>H59*D59</f>
        <v/>
      </c>
    </row>
    <row r="16" ht="28" customHeight="1">
      <c r="A16" s="13" t="n">
        <v>2026</v>
      </c>
      <c r="B16" s="20" t="inlineStr">
        <is>
          <t>Q2</t>
        </is>
      </c>
      <c r="C16" s="16">
        <f>SUM('Variables_And_Log'!I3:K3)</f>
        <v/>
      </c>
      <c r="D16" s="34">
        <f>G59</f>
        <v/>
      </c>
      <c r="E16" s="16">
        <f>H15</f>
        <v/>
      </c>
      <c r="F16" s="22">
        <f>IF(ISNUMBER(SEARCH("GOOD",D16)),MAX(0,I16-E16),0)</f>
        <v/>
      </c>
      <c r="G16" s="17" t="n"/>
      <c r="H16" s="16">
        <f>MAX(0,E16-C16+IF(G16="",F16,G16))</f>
        <v/>
      </c>
      <c r="I16" s="16">
        <f>H59*D59</f>
        <v/>
      </c>
    </row>
    <row r="17" ht="28" customHeight="1">
      <c r="A17" s="13" t="n">
        <v>2026</v>
      </c>
      <c r="B17" s="20" t="inlineStr">
        <is>
          <t>Q3</t>
        </is>
      </c>
      <c r="C17" s="16">
        <f>SUM('Variables_And_Log'!L3:N3)</f>
        <v/>
      </c>
      <c r="D17" s="34">
        <f>G59</f>
        <v/>
      </c>
      <c r="E17" s="16">
        <f>H16</f>
        <v/>
      </c>
      <c r="F17" s="22">
        <f>IF(ISNUMBER(SEARCH("GOOD",D17)),MAX(0,I17-E17),0)</f>
        <v/>
      </c>
      <c r="G17" s="17" t="n"/>
      <c r="H17" s="16">
        <f>MAX(0,E17-C17+IF(G17="",F17,G17))</f>
        <v/>
      </c>
      <c r="I17" s="16">
        <f>H59*D59</f>
        <v/>
      </c>
    </row>
    <row r="18" ht="28" customHeight="1">
      <c r="A18" s="13" t="n">
        <v>2026</v>
      </c>
      <c r="B18" s="20" t="inlineStr">
        <is>
          <t>Q4</t>
        </is>
      </c>
      <c r="C18" s="16">
        <f>SUM('Variables_And_Log'!O3:Q3)</f>
        <v/>
      </c>
      <c r="D18" s="34">
        <f>G59</f>
        <v/>
      </c>
      <c r="E18" s="16">
        <f>H17</f>
        <v/>
      </c>
      <c r="F18" s="22">
        <f>IF(ISNUMBER(SEARCH("GOOD",D18)),MAX(0,I18-E18),0)</f>
        <v/>
      </c>
      <c r="G18" s="17" t="n"/>
      <c r="H18" s="16">
        <f>MAX(0,E18-C18+IF(G18="",F18,G18))</f>
        <v/>
      </c>
      <c r="I18" s="16">
        <f>H59*D59</f>
        <v/>
      </c>
    </row>
    <row r="19" ht="28" customHeight="1">
      <c r="A19" s="28" t="n">
        <v>2027</v>
      </c>
      <c r="B19" s="29" t="inlineStr">
        <is>
          <t>Q1</t>
        </is>
      </c>
      <c r="C19" s="30">
        <f>SUM('Variables_And_Log'!F4:H4)</f>
        <v/>
      </c>
      <c r="D19" s="31">
        <f>G60</f>
        <v/>
      </c>
      <c r="E19" s="30">
        <f>H18</f>
        <v/>
      </c>
      <c r="F19" s="32">
        <f>IF(ISNUMBER(SEARCH("GOOD",D19)),MAX(0,I19-E19),0)</f>
        <v/>
      </c>
      <c r="G19" s="33" t="n"/>
      <c r="H19" s="30">
        <f>MAX(0,E19-C19+IF(G19="",F19,G19))</f>
        <v/>
      </c>
      <c r="I19" s="30">
        <f>H60*D60</f>
        <v/>
      </c>
    </row>
    <row r="20" ht="28" customHeight="1">
      <c r="A20" s="13" t="n">
        <v>2027</v>
      </c>
      <c r="B20" s="20" t="inlineStr">
        <is>
          <t>Q2</t>
        </is>
      </c>
      <c r="C20" s="16">
        <f>SUM('Variables_And_Log'!I4:K4)</f>
        <v/>
      </c>
      <c r="D20" s="34">
        <f>G60</f>
        <v/>
      </c>
      <c r="E20" s="16">
        <f>H19</f>
        <v/>
      </c>
      <c r="F20" s="22">
        <f>IF(ISNUMBER(SEARCH("GOOD",D20)),MAX(0,I20-E20),0)</f>
        <v/>
      </c>
      <c r="G20" s="17" t="n"/>
      <c r="H20" s="16">
        <f>MAX(0,E20-C20+IF(G20="",F20,G20))</f>
        <v/>
      </c>
      <c r="I20" s="16">
        <f>H60*D60</f>
        <v/>
      </c>
    </row>
    <row r="21" ht="28" customHeight="1">
      <c r="A21" s="13" t="n">
        <v>2027</v>
      </c>
      <c r="B21" s="20" t="inlineStr">
        <is>
          <t>Q3</t>
        </is>
      </c>
      <c r="C21" s="16">
        <f>SUM('Variables_And_Log'!L4:N4)</f>
        <v/>
      </c>
      <c r="D21" s="34">
        <f>G60</f>
        <v/>
      </c>
      <c r="E21" s="16">
        <f>H20</f>
        <v/>
      </c>
      <c r="F21" s="22">
        <f>IF(ISNUMBER(SEARCH("GOOD",D21)),MAX(0,I21-E21),0)</f>
        <v/>
      </c>
      <c r="G21" s="17" t="n"/>
      <c r="H21" s="16">
        <f>MAX(0,E21-C21+IF(G21="",F21,G21))</f>
        <v/>
      </c>
      <c r="I21" s="16">
        <f>H60*D60</f>
        <v/>
      </c>
    </row>
    <row r="22" ht="28" customHeight="1">
      <c r="A22" s="13" t="n">
        <v>2027</v>
      </c>
      <c r="B22" s="20" t="inlineStr">
        <is>
          <t>Q4</t>
        </is>
      </c>
      <c r="C22" s="16">
        <f>SUM('Variables_And_Log'!O4:Q4)</f>
        <v/>
      </c>
      <c r="D22" s="34">
        <f>G60</f>
        <v/>
      </c>
      <c r="E22" s="16">
        <f>H21</f>
        <v/>
      </c>
      <c r="F22" s="22">
        <f>IF(ISNUMBER(SEARCH("GOOD",D22)),MAX(0,I22-E22),0)</f>
        <v/>
      </c>
      <c r="G22" s="17" t="n"/>
      <c r="H22" s="16">
        <f>MAX(0,E22-C22+IF(G22="",F22,G22))</f>
        <v/>
      </c>
      <c r="I22" s="16">
        <f>H60*D60</f>
        <v/>
      </c>
    </row>
    <row r="23" ht="28" customHeight="1">
      <c r="A23" s="28" t="n">
        <v>2028</v>
      </c>
      <c r="B23" s="29" t="inlineStr">
        <is>
          <t>Q1</t>
        </is>
      </c>
      <c r="C23" s="30">
        <f>SUM('Variables_And_Log'!F5:H5)</f>
        <v/>
      </c>
      <c r="D23" s="31">
        <f>G61</f>
        <v/>
      </c>
      <c r="E23" s="30">
        <f>H22</f>
        <v/>
      </c>
      <c r="F23" s="32">
        <f>IF(ISNUMBER(SEARCH("GOOD",D23)),MAX(0,I23-E23),0)</f>
        <v/>
      </c>
      <c r="G23" s="33" t="n"/>
      <c r="H23" s="30">
        <f>MAX(0,E23-C23+IF(G23="",F23,G23))</f>
        <v/>
      </c>
      <c r="I23" s="30">
        <f>H61*D61</f>
        <v/>
      </c>
    </row>
    <row r="24" ht="28" customHeight="1">
      <c r="A24" s="13" t="n">
        <v>2028</v>
      </c>
      <c r="B24" s="20" t="inlineStr">
        <is>
          <t>Q2</t>
        </is>
      </c>
      <c r="C24" s="16">
        <f>SUM('Variables_And_Log'!I5:K5)</f>
        <v/>
      </c>
      <c r="D24" s="34">
        <f>G61</f>
        <v/>
      </c>
      <c r="E24" s="16">
        <f>H23</f>
        <v/>
      </c>
      <c r="F24" s="22">
        <f>IF(ISNUMBER(SEARCH("GOOD",D24)),MAX(0,I24-E24),0)</f>
        <v/>
      </c>
      <c r="G24" s="17" t="n"/>
      <c r="H24" s="16">
        <f>MAX(0,E24-C24+IF(G24="",F24,G24))</f>
        <v/>
      </c>
      <c r="I24" s="16">
        <f>H61*D61</f>
        <v/>
      </c>
    </row>
    <row r="25" ht="28" customHeight="1">
      <c r="A25" s="13" t="n">
        <v>2028</v>
      </c>
      <c r="B25" s="20" t="inlineStr">
        <is>
          <t>Q3</t>
        </is>
      </c>
      <c r="C25" s="16">
        <f>SUM('Variables_And_Log'!L5:N5)</f>
        <v/>
      </c>
      <c r="D25" s="34">
        <f>G61</f>
        <v/>
      </c>
      <c r="E25" s="16">
        <f>H24</f>
        <v/>
      </c>
      <c r="F25" s="22">
        <f>IF(ISNUMBER(SEARCH("GOOD",D25)),MAX(0,I25-E25),0)</f>
        <v/>
      </c>
      <c r="G25" s="17" t="n"/>
      <c r="H25" s="16">
        <f>MAX(0,E25-C25+IF(G25="",F25,G25))</f>
        <v/>
      </c>
      <c r="I25" s="16">
        <f>H61*D61</f>
        <v/>
      </c>
    </row>
    <row r="26" ht="28" customHeight="1">
      <c r="A26" s="13" t="n">
        <v>2028</v>
      </c>
      <c r="B26" s="20" t="inlineStr">
        <is>
          <t>Q4</t>
        </is>
      </c>
      <c r="C26" s="16">
        <f>SUM('Variables_And_Log'!O5:Q5)</f>
        <v/>
      </c>
      <c r="D26" s="34">
        <f>G61</f>
        <v/>
      </c>
      <c r="E26" s="16">
        <f>H25</f>
        <v/>
      </c>
      <c r="F26" s="22">
        <f>IF(ISNUMBER(SEARCH("GOOD",D26)),MAX(0,I26-E26),0)</f>
        <v/>
      </c>
      <c r="G26" s="17" t="n"/>
      <c r="H26" s="16">
        <f>MAX(0,E26-C26+IF(G26="",F26,G26))</f>
        <v/>
      </c>
      <c r="I26" s="16">
        <f>H61*D61</f>
        <v/>
      </c>
    </row>
    <row r="27" ht="28" customHeight="1">
      <c r="A27" s="28" t="n">
        <v>2029</v>
      </c>
      <c r="B27" s="29" t="inlineStr">
        <is>
          <t>Q1</t>
        </is>
      </c>
      <c r="C27" s="30">
        <f>SUM('Variables_And_Log'!F6:H6)</f>
        <v/>
      </c>
      <c r="D27" s="31">
        <f>G62</f>
        <v/>
      </c>
      <c r="E27" s="30">
        <f>H26</f>
        <v/>
      </c>
      <c r="F27" s="32">
        <f>IF(ISNUMBER(SEARCH("GOOD",D27)),MAX(0,I27-E27),0)</f>
        <v/>
      </c>
      <c r="G27" s="33" t="n"/>
      <c r="H27" s="30">
        <f>MAX(0,E27-C27+IF(G27="",F27,G27))</f>
        <v/>
      </c>
      <c r="I27" s="30">
        <f>H62*D62</f>
        <v/>
      </c>
    </row>
    <row r="28" ht="28" customHeight="1">
      <c r="A28" s="13" t="n">
        <v>2029</v>
      </c>
      <c r="B28" s="20" t="inlineStr">
        <is>
          <t>Q2</t>
        </is>
      </c>
      <c r="C28" s="16">
        <f>SUM('Variables_And_Log'!I6:K6)</f>
        <v/>
      </c>
      <c r="D28" s="34">
        <f>G62</f>
        <v/>
      </c>
      <c r="E28" s="16">
        <f>H27</f>
        <v/>
      </c>
      <c r="F28" s="22">
        <f>IF(ISNUMBER(SEARCH("GOOD",D28)),MAX(0,I28-E28),0)</f>
        <v/>
      </c>
      <c r="G28" s="17" t="n"/>
      <c r="H28" s="16">
        <f>MAX(0,E28-C28+IF(G28="",F28,G28))</f>
        <v/>
      </c>
      <c r="I28" s="16">
        <f>H62*D62</f>
        <v/>
      </c>
    </row>
    <row r="29" ht="28" customHeight="1">
      <c r="A29" s="13" t="n">
        <v>2029</v>
      </c>
      <c r="B29" s="20" t="inlineStr">
        <is>
          <t>Q3</t>
        </is>
      </c>
      <c r="C29" s="16">
        <f>SUM('Variables_And_Log'!L6:N6)</f>
        <v/>
      </c>
      <c r="D29" s="34">
        <f>G62</f>
        <v/>
      </c>
      <c r="E29" s="16">
        <f>H28</f>
        <v/>
      </c>
      <c r="F29" s="22">
        <f>IF(ISNUMBER(SEARCH("GOOD",D29)),MAX(0,I29-E29),0)</f>
        <v/>
      </c>
      <c r="G29" s="17" t="n"/>
      <c r="H29" s="16">
        <f>MAX(0,E29-C29+IF(G29="",F29,G29))</f>
        <v/>
      </c>
      <c r="I29" s="16">
        <f>H62*D62</f>
        <v/>
      </c>
    </row>
    <row r="30" ht="28" customHeight="1">
      <c r="A30" s="13" t="n">
        <v>2029</v>
      </c>
      <c r="B30" s="20" t="inlineStr">
        <is>
          <t>Q4</t>
        </is>
      </c>
      <c r="C30" s="16">
        <f>SUM('Variables_And_Log'!O6:Q6)</f>
        <v/>
      </c>
      <c r="D30" s="34">
        <f>G62</f>
        <v/>
      </c>
      <c r="E30" s="16">
        <f>H29</f>
        <v/>
      </c>
      <c r="F30" s="22">
        <f>IF(ISNUMBER(SEARCH("GOOD",D30)),MAX(0,I30-E30),0)</f>
        <v/>
      </c>
      <c r="G30" s="17" t="n"/>
      <c r="H30" s="16">
        <f>MAX(0,E30-C30+IF(G30="",F30,G30))</f>
        <v/>
      </c>
      <c r="I30" s="16">
        <f>H62*D62</f>
        <v/>
      </c>
    </row>
    <row r="31" ht="28" customHeight="1">
      <c r="A31" s="28" t="n">
        <v>2030</v>
      </c>
      <c r="B31" s="29" t="inlineStr">
        <is>
          <t>Q1</t>
        </is>
      </c>
      <c r="C31" s="30">
        <f>SUM('Variables_And_Log'!F7:H7)</f>
        <v/>
      </c>
      <c r="D31" s="31">
        <f>G63</f>
        <v/>
      </c>
      <c r="E31" s="30">
        <f>H30</f>
        <v/>
      </c>
      <c r="F31" s="32">
        <f>IF(ISNUMBER(SEARCH("GOOD",D31)),MAX(0,I31-E31),0)</f>
        <v/>
      </c>
      <c r="G31" s="33" t="n"/>
      <c r="H31" s="30">
        <f>MAX(0,E31-C31+IF(G31="",F31,G31))</f>
        <v/>
      </c>
      <c r="I31" s="30">
        <f>H63*D63</f>
        <v/>
      </c>
    </row>
    <row r="32" ht="28" customHeight="1">
      <c r="A32" s="13" t="n">
        <v>2030</v>
      </c>
      <c r="B32" s="20" t="inlineStr">
        <is>
          <t>Q2</t>
        </is>
      </c>
      <c r="C32" s="16">
        <f>SUM('Variables_And_Log'!I7:K7)</f>
        <v/>
      </c>
      <c r="D32" s="34">
        <f>G63</f>
        <v/>
      </c>
      <c r="E32" s="16">
        <f>H31</f>
        <v/>
      </c>
      <c r="F32" s="22">
        <f>IF(ISNUMBER(SEARCH("GOOD",D32)),MAX(0,I32-E32),0)</f>
        <v/>
      </c>
      <c r="G32" s="17" t="n"/>
      <c r="H32" s="16">
        <f>MAX(0,E32-C32+IF(G32="",F32,G32))</f>
        <v/>
      </c>
      <c r="I32" s="16">
        <f>H63*D63</f>
        <v/>
      </c>
    </row>
    <row r="33" ht="28" customHeight="1">
      <c r="A33" s="13" t="n">
        <v>2030</v>
      </c>
      <c r="B33" s="20" t="inlineStr">
        <is>
          <t>Q3</t>
        </is>
      </c>
      <c r="C33" s="16">
        <f>SUM('Variables_And_Log'!L7:N7)</f>
        <v/>
      </c>
      <c r="D33" s="34">
        <f>G63</f>
        <v/>
      </c>
      <c r="E33" s="16">
        <f>H32</f>
        <v/>
      </c>
      <c r="F33" s="22">
        <f>IF(ISNUMBER(SEARCH("GOOD",D33)),MAX(0,I33-E33),0)</f>
        <v/>
      </c>
      <c r="G33" s="17" t="n"/>
      <c r="H33" s="16">
        <f>MAX(0,E33-C33+IF(G33="",F33,G33))</f>
        <v/>
      </c>
      <c r="I33" s="16">
        <f>H63*D63</f>
        <v/>
      </c>
    </row>
    <row r="34" ht="28" customHeight="1">
      <c r="A34" s="13" t="n">
        <v>2030</v>
      </c>
      <c r="B34" s="20" t="inlineStr">
        <is>
          <t>Q4</t>
        </is>
      </c>
      <c r="C34" s="16">
        <f>SUM('Variables_And_Log'!O7:Q7)</f>
        <v/>
      </c>
      <c r="D34" s="34">
        <f>G63</f>
        <v/>
      </c>
      <c r="E34" s="16">
        <f>H33</f>
        <v/>
      </c>
      <c r="F34" s="22">
        <f>IF(ISNUMBER(SEARCH("GOOD",D34)),MAX(0,I34-E34),0)</f>
        <v/>
      </c>
      <c r="G34" s="17" t="n"/>
      <c r="H34" s="16">
        <f>MAX(0,E34-C34+IF(G34="",F34,G34))</f>
        <v/>
      </c>
      <c r="I34" s="16">
        <f>H63*D63</f>
        <v/>
      </c>
    </row>
    <row r="35" ht="28" customHeight="1">
      <c r="A35" s="28" t="n">
        <v>2031</v>
      </c>
      <c r="B35" s="29" t="inlineStr">
        <is>
          <t>Q1</t>
        </is>
      </c>
      <c r="C35" s="30">
        <f>SUM('Variables_And_Log'!F8:H8)</f>
        <v/>
      </c>
      <c r="D35" s="31">
        <f>G64</f>
        <v/>
      </c>
      <c r="E35" s="30">
        <f>H34</f>
        <v/>
      </c>
      <c r="F35" s="32">
        <f>IF(ISNUMBER(SEARCH("GOOD",D35)),MAX(0,I35-E35),0)</f>
        <v/>
      </c>
      <c r="G35" s="33" t="n"/>
      <c r="H35" s="30">
        <f>MAX(0,E35-C35+IF(G35="",F35,G35))</f>
        <v/>
      </c>
      <c r="I35" s="30">
        <f>H64*D64</f>
        <v/>
      </c>
    </row>
    <row r="36" ht="28" customHeight="1">
      <c r="A36" s="13" t="n">
        <v>2031</v>
      </c>
      <c r="B36" s="20" t="inlineStr">
        <is>
          <t>Q2</t>
        </is>
      </c>
      <c r="C36" s="16">
        <f>SUM('Variables_And_Log'!I8:K8)</f>
        <v/>
      </c>
      <c r="D36" s="34">
        <f>G64</f>
        <v/>
      </c>
      <c r="E36" s="16">
        <f>H35</f>
        <v/>
      </c>
      <c r="F36" s="22">
        <f>IF(ISNUMBER(SEARCH("GOOD",D36)),MAX(0,I36-E36),0)</f>
        <v/>
      </c>
      <c r="G36" s="17" t="n"/>
      <c r="H36" s="16">
        <f>MAX(0,E36-C36+IF(G36="",F36,G36))</f>
        <v/>
      </c>
      <c r="I36" s="16">
        <f>H64*D64</f>
        <v/>
      </c>
    </row>
    <row r="37" ht="28" customHeight="1">
      <c r="A37" s="13" t="n">
        <v>2031</v>
      </c>
      <c r="B37" s="20" t="inlineStr">
        <is>
          <t>Q3</t>
        </is>
      </c>
      <c r="C37" s="16">
        <f>SUM('Variables_And_Log'!L8:N8)</f>
        <v/>
      </c>
      <c r="D37" s="34">
        <f>G64</f>
        <v/>
      </c>
      <c r="E37" s="16">
        <f>H36</f>
        <v/>
      </c>
      <c r="F37" s="22">
        <f>IF(ISNUMBER(SEARCH("GOOD",D37)),MAX(0,I37-E37),0)</f>
        <v/>
      </c>
      <c r="G37" s="17" t="n"/>
      <c r="H37" s="16">
        <f>MAX(0,E37-C37+IF(G37="",F37,G37))</f>
        <v/>
      </c>
      <c r="I37" s="16">
        <f>H64*D64</f>
        <v/>
      </c>
    </row>
    <row r="38" ht="28" customHeight="1">
      <c r="A38" s="13" t="n">
        <v>2031</v>
      </c>
      <c r="B38" s="20" t="inlineStr">
        <is>
          <t>Q4</t>
        </is>
      </c>
      <c r="C38" s="16">
        <f>SUM('Variables_And_Log'!O8:Q8)</f>
        <v/>
      </c>
      <c r="D38" s="34">
        <f>G64</f>
        <v/>
      </c>
      <c r="E38" s="16">
        <f>H37</f>
        <v/>
      </c>
      <c r="F38" s="22">
        <f>IF(ISNUMBER(SEARCH("GOOD",D38)),MAX(0,I38-E38),0)</f>
        <v/>
      </c>
      <c r="G38" s="17" t="n"/>
      <c r="H38" s="16">
        <f>MAX(0,E38-C38+IF(G38="",F38,G38))</f>
        <v/>
      </c>
      <c r="I38" s="16">
        <f>H64*D64</f>
        <v/>
      </c>
    </row>
    <row r="39" ht="28" customHeight="1">
      <c r="A39" s="28" t="n">
        <v>2032</v>
      </c>
      <c r="B39" s="29" t="inlineStr">
        <is>
          <t>Q1</t>
        </is>
      </c>
      <c r="C39" s="30">
        <f>SUM('Variables_And_Log'!F9:H9)</f>
        <v/>
      </c>
      <c r="D39" s="31">
        <f>G65</f>
        <v/>
      </c>
      <c r="E39" s="30">
        <f>H38</f>
        <v/>
      </c>
      <c r="F39" s="32">
        <f>IF(ISNUMBER(SEARCH("GOOD",D39)),MAX(0,I39-E39),0)</f>
        <v/>
      </c>
      <c r="G39" s="33" t="n"/>
      <c r="H39" s="30">
        <f>MAX(0,E39-C39+IF(G39="",F39,G39))</f>
        <v/>
      </c>
      <c r="I39" s="30">
        <f>H65*D65</f>
        <v/>
      </c>
    </row>
    <row r="40" ht="28" customHeight="1">
      <c r="A40" s="13" t="n">
        <v>2032</v>
      </c>
      <c r="B40" s="20" t="inlineStr">
        <is>
          <t>Q2</t>
        </is>
      </c>
      <c r="C40" s="16">
        <f>SUM('Variables_And_Log'!I9:K9)</f>
        <v/>
      </c>
      <c r="D40" s="34">
        <f>G65</f>
        <v/>
      </c>
      <c r="E40" s="16">
        <f>H39</f>
        <v/>
      </c>
      <c r="F40" s="22">
        <f>IF(ISNUMBER(SEARCH("GOOD",D40)),MAX(0,I40-E40),0)</f>
        <v/>
      </c>
      <c r="G40" s="17" t="n"/>
      <c r="H40" s="16">
        <f>MAX(0,E40-C40+IF(G40="",F40,G40))</f>
        <v/>
      </c>
      <c r="I40" s="16">
        <f>H65*D65</f>
        <v/>
      </c>
    </row>
    <row r="41" ht="28" customHeight="1">
      <c r="A41" s="13" t="n">
        <v>2032</v>
      </c>
      <c r="B41" s="20" t="inlineStr">
        <is>
          <t>Q3</t>
        </is>
      </c>
      <c r="C41" s="16">
        <f>SUM('Variables_And_Log'!L9:N9)</f>
        <v/>
      </c>
      <c r="D41" s="34">
        <f>G65</f>
        <v/>
      </c>
      <c r="E41" s="16">
        <f>H40</f>
        <v/>
      </c>
      <c r="F41" s="22">
        <f>IF(ISNUMBER(SEARCH("GOOD",D41)),MAX(0,I41-E41),0)</f>
        <v/>
      </c>
      <c r="G41" s="17" t="n"/>
      <c r="H41" s="16">
        <f>MAX(0,E41-C41+IF(G41="",F41,G41))</f>
        <v/>
      </c>
      <c r="I41" s="16">
        <f>H65*D65</f>
        <v/>
      </c>
    </row>
    <row r="42" ht="28" customHeight="1">
      <c r="A42" s="13" t="n">
        <v>2032</v>
      </c>
      <c r="B42" s="20" t="inlineStr">
        <is>
          <t>Q4</t>
        </is>
      </c>
      <c r="C42" s="16">
        <f>SUM('Variables_And_Log'!O9:Q9)</f>
        <v/>
      </c>
      <c r="D42" s="34">
        <f>G65</f>
        <v/>
      </c>
      <c r="E42" s="16">
        <f>H41</f>
        <v/>
      </c>
      <c r="F42" s="22">
        <f>IF(ISNUMBER(SEARCH("GOOD",D42)),MAX(0,I42-E42),0)</f>
        <v/>
      </c>
      <c r="G42" s="17" t="n"/>
      <c r="H42" s="16">
        <f>MAX(0,E42-C42+IF(G42="",F42,G42))</f>
        <v/>
      </c>
      <c r="I42" s="16">
        <f>H65*D65</f>
        <v/>
      </c>
    </row>
    <row r="43" ht="28" customHeight="1">
      <c r="A43" s="28" t="n">
        <v>2033</v>
      </c>
      <c r="B43" s="29" t="inlineStr">
        <is>
          <t>Q1</t>
        </is>
      </c>
      <c r="C43" s="30">
        <f>SUM('Variables_And_Log'!F10:H10)</f>
        <v/>
      </c>
      <c r="D43" s="31">
        <f>G66</f>
        <v/>
      </c>
      <c r="E43" s="30">
        <f>H42</f>
        <v/>
      </c>
      <c r="F43" s="32">
        <f>IF(ISNUMBER(SEARCH("GOOD",D43)),MAX(0,I43-E43),0)</f>
        <v/>
      </c>
      <c r="G43" s="33" t="n"/>
      <c r="H43" s="30">
        <f>MAX(0,E43-C43+IF(G43="",F43,G43))</f>
        <v/>
      </c>
      <c r="I43" s="30">
        <f>H66*D66</f>
        <v/>
      </c>
    </row>
    <row r="44" ht="28" customHeight="1">
      <c r="A44" s="13" t="n">
        <v>2033</v>
      </c>
      <c r="B44" s="20" t="inlineStr">
        <is>
          <t>Q2</t>
        </is>
      </c>
      <c r="C44" s="16">
        <f>SUM('Variables_And_Log'!I10:K10)</f>
        <v/>
      </c>
      <c r="D44" s="34">
        <f>G66</f>
        <v/>
      </c>
      <c r="E44" s="16">
        <f>H43</f>
        <v/>
      </c>
      <c r="F44" s="22">
        <f>IF(ISNUMBER(SEARCH("GOOD",D44)),MAX(0,I44-E44),0)</f>
        <v/>
      </c>
      <c r="G44" s="17" t="n"/>
      <c r="H44" s="16">
        <f>MAX(0,E44-C44+IF(G44="",F44,G44))</f>
        <v/>
      </c>
      <c r="I44" s="16">
        <f>H66*D66</f>
        <v/>
      </c>
    </row>
    <row r="45" ht="28" customHeight="1">
      <c r="A45" s="13" t="n">
        <v>2033</v>
      </c>
      <c r="B45" s="20" t="inlineStr">
        <is>
          <t>Q3</t>
        </is>
      </c>
      <c r="C45" s="16">
        <f>SUM('Variables_And_Log'!L10:N10)</f>
        <v/>
      </c>
      <c r="D45" s="34">
        <f>G66</f>
        <v/>
      </c>
      <c r="E45" s="16">
        <f>H44</f>
        <v/>
      </c>
      <c r="F45" s="22">
        <f>IF(ISNUMBER(SEARCH("GOOD",D45)),MAX(0,I45-E45),0)</f>
        <v/>
      </c>
      <c r="G45" s="17" t="n"/>
      <c r="H45" s="16">
        <f>MAX(0,E45-C45+IF(G45="",F45,G45))</f>
        <v/>
      </c>
      <c r="I45" s="16">
        <f>H66*D66</f>
        <v/>
      </c>
    </row>
    <row r="46" ht="28" customHeight="1">
      <c r="A46" s="13" t="n">
        <v>2033</v>
      </c>
      <c r="B46" s="20" t="inlineStr">
        <is>
          <t>Q4</t>
        </is>
      </c>
      <c r="C46" s="16">
        <f>SUM('Variables_And_Log'!O10:Q10)</f>
        <v/>
      </c>
      <c r="D46" s="34">
        <f>G66</f>
        <v/>
      </c>
      <c r="E46" s="16">
        <f>H45</f>
        <v/>
      </c>
      <c r="F46" s="22">
        <f>IF(ISNUMBER(SEARCH("GOOD",D46)),MAX(0,I46-E46),0)</f>
        <v/>
      </c>
      <c r="G46" s="17" t="n"/>
      <c r="H46" s="16">
        <f>MAX(0,E46-C46+IF(G46="",F46,G46))</f>
        <v/>
      </c>
      <c r="I46" s="16">
        <f>H66*D66</f>
        <v/>
      </c>
    </row>
    <row r="47" ht="28" customHeight="1">
      <c r="A47" s="28" t="n">
        <v>2034</v>
      </c>
      <c r="B47" s="29" t="inlineStr">
        <is>
          <t>Q1</t>
        </is>
      </c>
      <c r="C47" s="30">
        <f>SUM('Variables_And_Log'!F11:H11)</f>
        <v/>
      </c>
      <c r="D47" s="31">
        <f>G67</f>
        <v/>
      </c>
      <c r="E47" s="30">
        <f>H46</f>
        <v/>
      </c>
      <c r="F47" s="32">
        <f>IF(ISNUMBER(SEARCH("GOOD",D47)),MAX(0,I47-E47),0)</f>
        <v/>
      </c>
      <c r="G47" s="33" t="n"/>
      <c r="H47" s="30">
        <f>MAX(0,E47-C47+IF(G47="",F47,G47))</f>
        <v/>
      </c>
      <c r="I47" s="30">
        <f>H67*D67</f>
        <v/>
      </c>
    </row>
    <row r="48" ht="28" customHeight="1">
      <c r="A48" s="13" t="n">
        <v>2034</v>
      </c>
      <c r="B48" s="20" t="inlineStr">
        <is>
          <t>Q2</t>
        </is>
      </c>
      <c r="C48" s="16">
        <f>SUM('Variables_And_Log'!I11:K11)</f>
        <v/>
      </c>
      <c r="D48" s="34">
        <f>G67</f>
        <v/>
      </c>
      <c r="E48" s="16">
        <f>H47</f>
        <v/>
      </c>
      <c r="F48" s="22">
        <f>IF(ISNUMBER(SEARCH("GOOD",D48)),MAX(0,I48-E48),0)</f>
        <v/>
      </c>
      <c r="G48" s="17" t="n"/>
      <c r="H48" s="16">
        <f>MAX(0,E48-C48+IF(G48="",F48,G48))</f>
        <v/>
      </c>
      <c r="I48" s="16">
        <f>H67*D67</f>
        <v/>
      </c>
    </row>
    <row r="49" ht="28" customHeight="1">
      <c r="A49" s="13" t="n">
        <v>2034</v>
      </c>
      <c r="B49" s="20" t="inlineStr">
        <is>
          <t>Q3</t>
        </is>
      </c>
      <c r="C49" s="16">
        <f>SUM('Variables_And_Log'!L11:N11)</f>
        <v/>
      </c>
      <c r="D49" s="34">
        <f>G67</f>
        <v/>
      </c>
      <c r="E49" s="16">
        <f>H48</f>
        <v/>
      </c>
      <c r="F49" s="22">
        <f>IF(ISNUMBER(SEARCH("GOOD",D49)),MAX(0,I49-E49),0)</f>
        <v/>
      </c>
      <c r="G49" s="17" t="n"/>
      <c r="H49" s="16">
        <f>MAX(0,E49-C49+IF(G49="",F49,G49))</f>
        <v/>
      </c>
      <c r="I49" s="16">
        <f>H67*D67</f>
        <v/>
      </c>
    </row>
    <row r="50" ht="28" customHeight="1">
      <c r="A50" s="13" t="n">
        <v>2034</v>
      </c>
      <c r="B50" s="20" t="inlineStr">
        <is>
          <t>Q4</t>
        </is>
      </c>
      <c r="C50" s="16">
        <f>SUM('Variables_And_Log'!O11:Q11)</f>
        <v/>
      </c>
      <c r="D50" s="34">
        <f>G67</f>
        <v/>
      </c>
      <c r="E50" s="16">
        <f>H49</f>
        <v/>
      </c>
      <c r="F50" s="22">
        <f>IF(ISNUMBER(SEARCH("GOOD",D50)),MAX(0,I50-E50),0)</f>
        <v/>
      </c>
      <c r="G50" s="17" t="n"/>
      <c r="H50" s="16">
        <f>MAX(0,E50-C50+IF(G50="",F50,G50))</f>
        <v/>
      </c>
      <c r="I50" s="16">
        <f>H67*D67</f>
        <v/>
      </c>
    </row>
    <row r="51" ht="28" customHeight="1">
      <c r="A51" s="28" t="n">
        <v>2035</v>
      </c>
      <c r="B51" s="29" t="inlineStr">
        <is>
          <t>Q1</t>
        </is>
      </c>
      <c r="C51" s="30">
        <f>SUM('Variables_And_Log'!F12:H12)</f>
        <v/>
      </c>
      <c r="D51" s="31">
        <f>G68</f>
        <v/>
      </c>
      <c r="E51" s="30">
        <f>H50</f>
        <v/>
      </c>
      <c r="F51" s="32">
        <f>IF(ISNUMBER(SEARCH("GOOD",D51)),MAX(0,I51-E51),0)</f>
        <v/>
      </c>
      <c r="G51" s="33" t="n"/>
      <c r="H51" s="30">
        <f>MAX(0,E51-C51+IF(G51="",F51,G51))</f>
        <v/>
      </c>
      <c r="I51" s="30">
        <f>H68*D68</f>
        <v/>
      </c>
    </row>
    <row r="52" ht="28" customHeight="1">
      <c r="A52" s="13" t="n">
        <v>2035</v>
      </c>
      <c r="B52" s="20" t="inlineStr">
        <is>
          <t>Q2</t>
        </is>
      </c>
      <c r="C52" s="16">
        <f>SUM('Variables_And_Log'!I12:K12)</f>
        <v/>
      </c>
      <c r="D52" s="34">
        <f>G68</f>
        <v/>
      </c>
      <c r="E52" s="16">
        <f>H51</f>
        <v/>
      </c>
      <c r="F52" s="22">
        <f>IF(ISNUMBER(SEARCH("GOOD",D52)),MAX(0,I52-E52),0)</f>
        <v/>
      </c>
      <c r="G52" s="17" t="n"/>
      <c r="H52" s="16">
        <f>MAX(0,E52-C52+IF(G52="",F52,G52))</f>
        <v/>
      </c>
      <c r="I52" s="16">
        <f>H68*D68</f>
        <v/>
      </c>
    </row>
    <row r="53" ht="28" customHeight="1">
      <c r="A53" s="13" t="n">
        <v>2035</v>
      </c>
      <c r="B53" s="20" t="inlineStr">
        <is>
          <t>Q3</t>
        </is>
      </c>
      <c r="C53" s="16">
        <f>SUM('Variables_And_Log'!L12:N12)</f>
        <v/>
      </c>
      <c r="D53" s="34">
        <f>G68</f>
        <v/>
      </c>
      <c r="E53" s="16">
        <f>H52</f>
        <v/>
      </c>
      <c r="F53" s="22">
        <f>IF(ISNUMBER(SEARCH("GOOD",D53)),MAX(0,I53-E53),0)</f>
        <v/>
      </c>
      <c r="G53" s="17" t="n"/>
      <c r="H53" s="16">
        <f>MAX(0,E53-C53+IF(G53="",F53,G53))</f>
        <v/>
      </c>
      <c r="I53" s="16">
        <f>H68*D68</f>
        <v/>
      </c>
    </row>
    <row r="54" ht="28" customHeight="1">
      <c r="A54" s="13" t="n">
        <v>2035</v>
      </c>
      <c r="B54" s="20" t="inlineStr">
        <is>
          <t>Q4</t>
        </is>
      </c>
      <c r="C54" s="16">
        <f>SUM('Variables_And_Log'!O12:Q12)</f>
        <v/>
      </c>
      <c r="D54" s="34">
        <f>G68</f>
        <v/>
      </c>
      <c r="E54" s="16">
        <f>H53</f>
        <v/>
      </c>
      <c r="F54" s="22">
        <f>IF(ISNUMBER(SEARCH("GOOD",D54)),MAX(0,I54-E54),0)</f>
        <v/>
      </c>
      <c r="G54" s="17" t="n"/>
      <c r="H54" s="16">
        <f>MAX(0,E54-C54+IF(G54="",F54,G54))</f>
        <v/>
      </c>
      <c r="I54" s="16">
        <f>H68*D68</f>
        <v/>
      </c>
    </row>
    <row r="55"/>
    <row r="56"/>
    <row r="57" ht="20" customHeight="1">
      <c r="A57" s="2" t="inlineStr">
        <is>
          <t>ANNUAL SRR HURDLE MODEL — SIMULATED WEALTH VS. HURDLE (GATES THE QUARTERLY REFILL ABOVE)</t>
        </is>
      </c>
      <c r="B57" s="2" t="n"/>
      <c r="C57" s="2" t="n"/>
      <c r="D57" s="2" t="n"/>
      <c r="E57" s="2" t="n"/>
      <c r="F57" s="2" t="n"/>
      <c r="G57" s="2" t="n"/>
      <c r="H57" s="2" t="n"/>
    </row>
    <row r="58" ht="40" customHeight="1">
      <c r="A58" s="10" t="inlineStr">
        <is>
          <t>Year</t>
        </is>
      </c>
      <c r="B58" s="10" t="inlineStr">
        <is>
          <t>Total Annual Hurdle Rate</t>
        </is>
      </c>
      <c r="C58" s="10" t="inlineStr">
        <is>
          <t>Annual Outflows (W_t)</t>
        </is>
      </c>
      <c r="D58" s="10" t="inlineStr">
        <is>
          <t>Simulated Target Portfolio (P_track)</t>
        </is>
      </c>
      <c r="E58" s="10" t="inlineStr">
        <is>
          <t>Scenario Return (Selected, This Year)</t>
        </is>
      </c>
      <c r="F58" s="10" t="inlineStr">
        <is>
          <t>Simulated Actual Household Wealth (This Year)</t>
        </is>
      </c>
      <c r="G58" s="10" t="inlineStr">
        <is>
          <t>Performance Logic Trigger</t>
        </is>
      </c>
      <c r="H58" s="10" t="inlineStr">
        <is>
          <t>Safety Anchor % (This Year)</t>
        </is>
      </c>
    </row>
    <row r="59" ht="28" customHeight="1">
      <c r="A59" s="13" t="n">
        <v>2026</v>
      </c>
      <c r="B59" s="15">
        <f>'Variables_And_Log'!D3</f>
        <v/>
      </c>
      <c r="C59" s="16">
        <f>'Variables_And_Log'!E3</f>
        <v/>
      </c>
      <c r="D59" s="16">
        <f>ROUND(($B$3*B59)-C59,2)</f>
        <v/>
      </c>
      <c r="E59" s="15">
        <f>'Variables_And_Log'!U3</f>
        <v/>
      </c>
      <c r="F59" s="22">
        <f>ROUND(($B$3*(1+E59))-C59,2)</f>
        <v/>
      </c>
      <c r="G59" s="34">
        <f>IF(F59&gt;=D59,"✅ GOOD: Execute T2065 Rebalance &amp; Rollover to TSP","⚠️ POOR: Freeze Equities. Draw Down G Fund")</f>
        <v/>
      </c>
      <c r="H59" s="15">
        <f>IF(A59-$B$4&lt;$B$6,$B$7,$B$8)</f>
        <v/>
      </c>
    </row>
    <row r="60" ht="28" customHeight="1">
      <c r="A60" s="13" t="n">
        <v>2027</v>
      </c>
      <c r="B60" s="15">
        <f>'Variables_And_Log'!D4</f>
        <v/>
      </c>
      <c r="C60" s="16">
        <f>'Variables_And_Log'!E4</f>
        <v/>
      </c>
      <c r="D60" s="16">
        <f>ROUND((D59*B60)-C60,2)</f>
        <v/>
      </c>
      <c r="E60" s="15">
        <f>'Variables_And_Log'!U4</f>
        <v/>
      </c>
      <c r="F60" s="22">
        <f>ROUND((F59*(1+E60))-C60,2)</f>
        <v/>
      </c>
      <c r="G60" s="34">
        <f>IF(F60&gt;=D60,"✅ GOOD: Execute T2065 Rebalance &amp; Rollover to TSP","⚠️ POOR: Freeze Equities. Draw Down G Fund")</f>
        <v/>
      </c>
      <c r="H60" s="15">
        <f>IF(A60-$B$4&lt;$B$6,$B$7,$B$8)</f>
        <v/>
      </c>
    </row>
    <row r="61" ht="28" customHeight="1">
      <c r="A61" s="13" t="n">
        <v>2028</v>
      </c>
      <c r="B61" s="15">
        <f>'Variables_And_Log'!D5</f>
        <v/>
      </c>
      <c r="C61" s="16">
        <f>'Variables_And_Log'!E5</f>
        <v/>
      </c>
      <c r="D61" s="16">
        <f>ROUND((D60*B61)-C61,2)</f>
        <v/>
      </c>
      <c r="E61" s="15">
        <f>'Variables_And_Log'!U5</f>
        <v/>
      </c>
      <c r="F61" s="22">
        <f>ROUND((F60*(1+E61))-C61,2)</f>
        <v/>
      </c>
      <c r="G61" s="34">
        <f>IF(F61&gt;=D61,"✅ GOOD: Execute T2065 Rebalance &amp; Rollover to TSP","⚠️ POOR: Freeze Equities. Draw Down G Fund")</f>
        <v/>
      </c>
      <c r="H61" s="15">
        <f>IF(A61-$B$4&lt;$B$6,$B$7,$B$8)</f>
        <v/>
      </c>
    </row>
    <row r="62" ht="28" customHeight="1">
      <c r="A62" s="13" t="n">
        <v>2029</v>
      </c>
      <c r="B62" s="15">
        <f>'Variables_And_Log'!D6</f>
        <v/>
      </c>
      <c r="C62" s="16">
        <f>'Variables_And_Log'!E6</f>
        <v/>
      </c>
      <c r="D62" s="16">
        <f>ROUND((D61*B62)-C62,2)</f>
        <v/>
      </c>
      <c r="E62" s="15">
        <f>'Variables_And_Log'!U6</f>
        <v/>
      </c>
      <c r="F62" s="22">
        <f>ROUND((F61*(1+E62))-C62,2)</f>
        <v/>
      </c>
      <c r="G62" s="34">
        <f>IF(F62&gt;=D62,"✅ GOOD: Execute T2065 Rebalance &amp; Rollover to TSP","⚠️ POOR: Freeze Equities. Draw Down G Fund")</f>
        <v/>
      </c>
      <c r="H62" s="15">
        <f>IF(A62-$B$4&lt;$B$6,$B$7,$B$8)</f>
        <v/>
      </c>
    </row>
    <row r="63" ht="28" customHeight="1">
      <c r="A63" s="13" t="n">
        <v>2030</v>
      </c>
      <c r="B63" s="15">
        <f>'Variables_And_Log'!D7</f>
        <v/>
      </c>
      <c r="C63" s="16">
        <f>'Variables_And_Log'!E7</f>
        <v/>
      </c>
      <c r="D63" s="16">
        <f>ROUND((D62*B63)-C63,2)</f>
        <v/>
      </c>
      <c r="E63" s="15">
        <f>'Variables_And_Log'!U7</f>
        <v/>
      </c>
      <c r="F63" s="22">
        <f>ROUND((F62*(1+E63))-C63,2)</f>
        <v/>
      </c>
      <c r="G63" s="34">
        <f>IF(F63&gt;=D63,"✅ GOOD: Execute T2065 Rebalance &amp; Rollover to TSP","⚠️ POOR: Freeze Equities. Draw Down G Fund")</f>
        <v/>
      </c>
      <c r="H63" s="15">
        <f>IF(A63-$B$4&lt;$B$6,$B$7,$B$8)</f>
        <v/>
      </c>
    </row>
    <row r="64" ht="28" customHeight="1">
      <c r="A64" s="13" t="n">
        <v>2031</v>
      </c>
      <c r="B64" s="15">
        <f>'Variables_And_Log'!D8</f>
        <v/>
      </c>
      <c r="C64" s="16">
        <f>'Variables_And_Log'!E8</f>
        <v/>
      </c>
      <c r="D64" s="16">
        <f>ROUND((D63*B64)-C64,2)</f>
        <v/>
      </c>
      <c r="E64" s="15">
        <f>'Variables_And_Log'!U8</f>
        <v/>
      </c>
      <c r="F64" s="22">
        <f>ROUND((F63*(1+E64))-C64,2)</f>
        <v/>
      </c>
      <c r="G64" s="34">
        <f>IF(F64&gt;=D64,"✅ GOOD: Execute T2065 Rebalance &amp; Rollover to TSP","⚠️ POOR: Freeze Equities. Draw Down G Fund")</f>
        <v/>
      </c>
      <c r="H64" s="15">
        <f>IF(A64-$B$4&lt;$B$6,$B$7,$B$8)</f>
        <v/>
      </c>
    </row>
    <row r="65" ht="28" customHeight="1">
      <c r="A65" s="13" t="n">
        <v>2032</v>
      </c>
      <c r="B65" s="15">
        <f>'Variables_And_Log'!D9</f>
        <v/>
      </c>
      <c r="C65" s="16">
        <f>'Variables_And_Log'!E9</f>
        <v/>
      </c>
      <c r="D65" s="16">
        <f>ROUND((D64*B65)-C65,2)</f>
        <v/>
      </c>
      <c r="E65" s="15">
        <f>'Variables_And_Log'!U9</f>
        <v/>
      </c>
      <c r="F65" s="22">
        <f>ROUND((F64*(1+E65))-C65,2)</f>
        <v/>
      </c>
      <c r="G65" s="34">
        <f>IF(F65&gt;=D65,"✅ GOOD: Execute T2065 Rebalance &amp; Rollover to TSP","⚠️ POOR: Freeze Equities. Draw Down G Fund")</f>
        <v/>
      </c>
      <c r="H65" s="15">
        <f>IF(A65-$B$4&lt;$B$6,$B$7,$B$8)</f>
        <v/>
      </c>
    </row>
    <row r="66" ht="28" customHeight="1">
      <c r="A66" s="13" t="n">
        <v>2033</v>
      </c>
      <c r="B66" s="15">
        <f>'Variables_And_Log'!D10</f>
        <v/>
      </c>
      <c r="C66" s="16">
        <f>'Variables_And_Log'!E10</f>
        <v/>
      </c>
      <c r="D66" s="16">
        <f>ROUND((D65*B66)-C66,2)</f>
        <v/>
      </c>
      <c r="E66" s="15">
        <f>'Variables_And_Log'!U10</f>
        <v/>
      </c>
      <c r="F66" s="22">
        <f>ROUND((F65*(1+E66))-C66,2)</f>
        <v/>
      </c>
      <c r="G66" s="34">
        <f>IF(F66&gt;=D66,"✅ GOOD: Execute T2065 Rebalance &amp; Rollover to TSP","⚠️ POOR: Freeze Equities. Draw Down G Fund")</f>
        <v/>
      </c>
      <c r="H66" s="15">
        <f>IF(A66-$B$4&lt;$B$6,$B$7,$B$8)</f>
        <v/>
      </c>
    </row>
    <row r="67" ht="28" customHeight="1">
      <c r="A67" s="13" t="n">
        <v>2034</v>
      </c>
      <c r="B67" s="15">
        <f>'Variables_And_Log'!D11</f>
        <v/>
      </c>
      <c r="C67" s="16">
        <f>'Variables_And_Log'!E11</f>
        <v/>
      </c>
      <c r="D67" s="16">
        <f>ROUND((D66*B67)-C67,2)</f>
        <v/>
      </c>
      <c r="E67" s="15">
        <f>'Variables_And_Log'!U11</f>
        <v/>
      </c>
      <c r="F67" s="22">
        <f>ROUND((F66*(1+E67))-C67,2)</f>
        <v/>
      </c>
      <c r="G67" s="34">
        <f>IF(F67&gt;=D67,"✅ GOOD: Execute T2065 Rebalance &amp; Rollover to TSP","⚠️ POOR: Freeze Equities. Draw Down G Fund")</f>
        <v/>
      </c>
      <c r="H67" s="15">
        <f>IF(A67-$B$4&lt;$B$6,$B$7,$B$8)</f>
        <v/>
      </c>
    </row>
    <row r="68" ht="28" customHeight="1">
      <c r="A68" s="13" t="n">
        <v>2035</v>
      </c>
      <c r="B68" s="15">
        <f>'Variables_And_Log'!D12</f>
        <v/>
      </c>
      <c r="C68" s="16">
        <f>'Variables_And_Log'!E12</f>
        <v/>
      </c>
      <c r="D68" s="16">
        <f>ROUND((D67*B68)-C68,2)</f>
        <v/>
      </c>
      <c r="E68" s="15">
        <f>'Variables_And_Log'!U12</f>
        <v/>
      </c>
      <c r="F68" s="22">
        <f>ROUND((F67*(1+E68))-C68,2)</f>
        <v/>
      </c>
      <c r="G68" s="34">
        <f>IF(F68&gt;=D68,"✅ GOOD: Execute T2065 Rebalance &amp; Rollover to TSP","⚠️ POOR: Freeze Equities. Draw Down G Fund")</f>
        <v/>
      </c>
      <c r="H68" s="15">
        <f>IF(A68-$B$4&lt;$B$6,$B$7,$B$8)</f>
        <v/>
      </c>
    </row>
    <row r="69"/>
    <row r="70">
      <c r="A70" s="2" t="inlineStr">
        <is>
          <t>EXTRA CAPACITY INDICATORS</t>
        </is>
      </c>
      <c r="B70" s="2" t="n"/>
      <c r="C70" s="2" t="n"/>
    </row>
    <row r="71">
      <c r="A71" s="24" t="inlineStr">
        <is>
          <t>Your Pre-Tax Rollover Conduit Capacity</t>
        </is>
      </c>
      <c r="B71" s="16">
        <f>'Account_Tracker'!$C$3</f>
        <v/>
      </c>
      <c r="C71" s="21">
        <f>IF(B71&gt;0,"Conduit Open","Conduit Closed")</f>
        <v/>
      </c>
    </row>
    <row r="72"/>
    <row r="73">
      <c r="A73" s="24" t="inlineStr">
        <is>
          <t>TSP Cash Buffer Runway (Months)</t>
        </is>
      </c>
      <c r="B73" s="35">
        <f>IFERROR('Account_Tracker'!$C$2/AVERAGE('Variables_And_Log'!$F$3:$Q$3),"Log Monthly Payments to Calculate")</f>
        <v/>
      </c>
      <c r="C73" s="21">
        <f>IF(ISNUMBER(B73),IF(B73&gt;36,"Safe: 3+ Year Volatility Shield","Caution: Shield Shrinking"),"Awaiting Payment Data")</f>
        <v/>
      </c>
    </row>
    <row r="74">
      <c r="A74" s="19" t="inlineStr">
        <is>
          <t>(Runway uses the average of 2026's monthly TSP payments, and the G Fund's Year-1 starting balance -- it does not reflect the quarter-by-quarter projection above.)</t>
        </is>
      </c>
    </row>
    <row r="75"/>
    <row r="76">
      <c r="A76" s="2" t="inlineStr">
        <is>
          <t>EMERGENCY LIQUIDITY PROTOCOL — NEXT-DOLLAR PRIORITY ENGINE</t>
        </is>
      </c>
      <c r="B76" s="2" t="n"/>
      <c r="C76" s="2" t="n"/>
      <c r="D76" s="2" t="n"/>
      <c r="E76" s="2" t="n"/>
    </row>
    <row r="77" ht="60" customHeight="1">
      <c r="A77" s="24" t="inlineStr">
        <is>
          <t>Next-Dollar Liquidity Priority</t>
        </is>
      </c>
      <c r="B77" s="36">
        <f>IF('Account_Tracker'!$C$2&gt;0,"🛡️ SHIELD ACTIVE: Continue automated monthly draws directly from the TSP G Fund. Your equity engines are fully insulated from sequence-of-returns risk.",IF(AND('Account_Tracker'!$C$2=0,'Account_Tracker'!$C$8&gt;0),"⚠️ SHIELD BROKEN: TSP G Fund is exhausted. IMMEDIATELY divert monthly checking draws to your Merrill Edge Cash Buffer. This buys next-day liquidity via Bank of America without forced retirement asset sales.",IF(AND('Account_Tracker'!$C$2=0,'Account_Tracker'!$C$8=0,'Account_Tracker'!$C$6&gt;0),"🚨 EMERGENCY LIQUIDATION - STAGE 1: G Fund and Cash Buffers are exhausted. Turn on monthly distributions from Spouse's Current Employer 403b. Their pre-tax employer plan qualifies for the Maryland Pension Exclusion at age 65, making it more tax-efficient than touching your private traditional IRA.","💥 NUCLEAR PROTOCOL - STAGE 2: Absolute liquidity crisis. You are forced to break all shields. Begin selling shares of the 2065 Target Date Funds within your Private Traditional IRAs to fund monthly expenses. Maximize tax withholding at the time of distribution to shield your remaining capital from underpayment penalties.")))</f>
        <v/>
      </c>
      <c r="C77" s="5" t="n"/>
      <c r="D77" s="5" t="n"/>
      <c r="E77" s="5" t="n"/>
    </row>
    <row r="78" ht="20" customHeight="1">
      <c r="B78" s="5" t="n"/>
      <c r="C78" s="5" t="n"/>
      <c r="D78" s="5" t="n"/>
      <c r="E78" s="5" t="n"/>
    </row>
    <row r="79" ht="20" customHeight="1">
      <c r="B79" s="5" t="n"/>
      <c r="C79" s="5" t="n"/>
      <c r="D79" s="5" t="n"/>
      <c r="E79" s="5" t="n"/>
    </row>
    <row r="80"/>
    <row r="81">
      <c r="A81" s="19" t="inlineStr">
        <is>
          <t>Legend: pale-yellow cells are yours to type into (pre-filled here with illustrative example numbers); white cells hold formulas or fixed scenario assumptions -- please don't overwrite them.</t>
        </is>
      </c>
    </row>
  </sheetData>
  <mergeCells count="6">
    <mergeCell ref="B77:E79"/>
    <mergeCell ref="A57:H57"/>
    <mergeCell ref="A13:I13"/>
    <mergeCell ref="A76:E76"/>
    <mergeCell ref="A70:C70"/>
    <mergeCell ref="C1:I1"/>
  </mergeCells>
  <conditionalFormatting sqref="B77:B79">
    <cfRule type="expression" priority="1" dxfId="0">
      <formula>'Account_Tracker'!$C$2&gt;0</formula>
    </cfRule>
    <cfRule type="expression" priority="2" dxfId="1">
      <formula>AND('Account_Tracker'!$C$2=0,'Account_Tracker'!$C$8&gt;0)</formula>
    </cfRule>
    <cfRule type="expression" priority="3" dxfId="2">
      <formula>AND('Account_Tracker'!$C$2=0,'Account_Tracker'!$C$8=0)</formula>
    </cfRule>
  </conditionalFormatting>
  <dataValidations count="1">
    <dataValidation sqref="B1" showDropDown="0" showInputMessage="0" showErrorMessage="0" allowBlank="0" type="list">
      <formula1>"Bear,Bull,Choppy"</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2026-09-02T05:25:17Z</dcterms:created>
  <dcterms:modified xmlns:dcterms="http://purl.org/dc/terms/" xmlns:xsi="http://www.w3.org/2001/XMLSchema-instance" xsi:type="dcterms:W3CDTF">2026-09-02T05:25:17Z</dcterms:modified>
</cp:coreProperties>
</file>